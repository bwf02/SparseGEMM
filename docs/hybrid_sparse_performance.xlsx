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1826048da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" sheetId="1" r:id="R9b0e80d92f4e4d0c"/>
    <x:sheet xmlns:r="http://schemas.openxmlformats.org/officeDocument/2006/relationships" name="Accuracy" sheetId="2" r:id="R1d42ea3110df42ff"/>
    <x:sheet xmlns:r="http://schemas.openxmlformats.org/officeDocument/2006/relationships" name="Persistent LaneReady" sheetId="3" r:id="Ra905d591c1cd48fe"/>
    <x:sheet xmlns:r="http://schemas.openxmlformats.org/officeDocument/2006/relationships" name="cuBLAS Baseline" sheetId="4" r:id="R17e5c44162e14fbb"/>
    <x:sheet xmlns:r="http://schemas.openxmlformats.org/officeDocument/2006/relationships" name="128x32 Stage3" sheetId="5" r:id="R5fc14d8f10294afb"/>
    <x:sheet xmlns:r="http://schemas.openxmlformats.org/officeDocument/2006/relationships" name="Merge K2" sheetId="6" r:id="R9bd090c8ca774a28"/>
    <x:sheet xmlns:r="http://schemas.openxmlformats.org/officeDocument/2006/relationships" name="TMA Pipeline Stages" sheetId="7" r:id="Re135756942a3493a"/>
    <x:sheet xmlns:r="http://schemas.openxmlformats.org/officeDocument/2006/relationships" name="Register Realloc" sheetId="8" r:id="R2d0d094837204869"/>
    <x:sheet xmlns:r="http://schemas.openxmlformats.org/officeDocument/2006/relationships" name="Metadata Iterations" sheetId="9" r:id="R2f405c9c674c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0.000x"/>
    <x:numFmt numFmtId="202" formatCode="0%"/>
    <x:numFmt numFmtId="203" formatCode="0.0000"/>
    <x:numFmt numFmtId="204" formatCode="0.00%"/>
    <x:numFmt numFmtId="205" formatCode="0.00 &quot;pp&quot;"/>
    <x:numFmt numFmtId="206" formatCode="0.000"/>
    <x:numFmt numFmtId="207" formatCode="0.0%"/>
    <x:numFmt numFmtId="208" formatCode="#,##0"/>
    <x:numFmt numFmtId="209" formatCode="0"/>
  </x:numFmts>
  <x:fonts count="34">
    <x:font>
      <x:sz val="11"/>
      <x:name val="Carlito"/>
    </x:font>
    <x:font>
      <x:b/>
      <x:sz val="18"/>
      <x:color rgb="FFFFFFFF"/>
      <x:name val="Carlito"/>
    </x:font>
    <x:font>
      <x:sz val="10"/>
      <x:color rgb="FF0C4A6E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i/>
      <x:sz val="9"/>
      <x:color rgb="FF475569"/>
      <x:name val="Carlito"/>
    </x:font>
    <x:font>
      <x:b/>
      <x:sz val="10"/>
      <x:color rgb="FF1E3A5F"/>
      <x:name val="Carlito"/>
    </x:font>
    <x:font>
      <x:b/>
      <x:sz val="22"/>
      <x:color rgb="FFFFFFFF"/>
      <x:name val="Carlito"/>
    </x:font>
    <x:font>
      <x:sz val="11"/>
      <x:color rgb="FF0B4F7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0"/>
      <x:color rgb="FF4B5C75"/>
      <x:name val="Carlito"/>
    </x:font>
    <x:font>
      <x:b/>
      <x:sz val="20"/>
      <x:color rgb="FFFFFFFF"/>
      <x:name val="Carlito"/>
    </x:font>
    <x:font>
      <x:sz val="11"/>
      <x:color rgb="FF075985"/>
      <x:name val="Carlito"/>
    </x:font>
    <x:font>
      <x:i/>
      <x:sz val="11"/>
      <x:color rgb="FF475569"/>
      <x:name val="Carlito"/>
    </x:font>
    <x:font>
      <x:b/>
      <x:sz val="20"/>
      <x:color rgb="FFFFFFFF"/>
      <x:name val="Arial"/>
    </x:font>
    <x:font>
      <x:sz val="11"/>
      <x:color rgb="FF075985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4"/>
      <x:color rgb="FFFFFFFF"/>
      <x:name val="Arial"/>
    </x:font>
    <x:font>
      <x:i/>
      <x:sz val="11"/>
      <x:color rgb="FF475569"/>
      <x:name val="Arial"/>
    </x:font>
    <x:font>
      <x:b/>
      <x:sz val="11"/>
      <x:color rgb="FF166534"/>
      <x:name val="Arial"/>
    </x:font>
    <x:font>
      <x:sz val="11"/>
      <x:color rgb="FF9A3412"/>
      <x:name val="Arial"/>
    </x:font>
    <x:font>
      <x:sz val="10"/>
      <x:color rgb="FF155B7A"/>
      <x:name val="Carlito"/>
    </x:font>
    <x:font>
      <x:b/>
      <x:sz val="13"/>
      <x:color rgb="FFFFFFFF"/>
      <x:name val="Carlito"/>
    </x:font>
    <x:font>
      <x:i/>
      <x:sz val="9"/>
      <x:color rgb="FF52657A"/>
      <x:name val="Carlito"/>
    </x:font>
    <x:font>
      <x:b/>
      <x:sz val="11"/>
      <x:color rgb="FF24456E"/>
      <x:name val="Carlito"/>
    </x:font>
    <x:font>
      <x:b/>
      <x:sz val="11"/>
      <x:color rgb="FF176B35"/>
      <x:name val="Carlito"/>
    </x:font>
    <x:font>
      <x:b/>
      <x:sz val="18"/>
      <x:color rgb="FFFFFFFF"/>
      <x:name val="Arial"/>
    </x:font>
    <x:font>
      <x:sz val="10"/>
      <x:color rgb="FF155B7A"/>
      <x:name val="Arial"/>
    </x:font>
    <x:font>
      <x:b/>
      <x:sz val="11"/>
      <x:color rgb="FF24456E"/>
      <x:name val="Arial"/>
    </x:font>
    <x:font>
      <x:b/>
      <x:sz val="11"/>
      <x:color rgb="FF176B35"/>
      <x:name val="Arial"/>
    </x:font>
    <x:font>
      <x:b/>
      <x:sz val="13"/>
      <x:color rgb="FFFFFFFF"/>
      <x:name val="Arial"/>
    </x:font>
    <x:font>
      <x:i/>
      <x:sz val="9"/>
      <x:color rgb="FF52657A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0F2FE"/>
      </x:patternFill>
    </x:fill>
    <x:fill>
      <x:patternFill patternType="solid">
        <x:fgColor rgb="FF1E3A5F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1B2D5C"/>
      </x:patternFill>
    </x:fill>
    <x:fill>
      <x:patternFill patternType="solid">
        <x:fgColor rgb="FFD9EDF9"/>
      </x:patternFill>
    </x:fill>
    <x:fill>
      <x:patternFill patternType="solid">
        <x:fgColor rgb="FF24466F"/>
      </x:patternFill>
    </x:fill>
    <x:fill>
      <x:patternFill patternType="solid">
        <x:fgColor rgb="FFF4F7FB"/>
      </x:patternFill>
    </x:fill>
    <x:fill>
      <x:patternFill patternType="solid">
        <x:fgColor rgb="FF1B2D5C"/>
      </x:patternFill>
    </x:fill>
    <x:fill>
      <x:patternFill patternType="solid">
        <x:fgColor rgb="FFD9EDF9"/>
      </x:patternFill>
    </x:fill>
    <x:fill>
      <x:patternFill patternType="solid">
        <x:fgColor rgb="FF24466F"/>
      </x:patternFill>
    </x:fill>
    <x:fill>
      <x:patternFill patternType="solid">
        <x:fgColor rgb="FFF4F7FB"/>
      </x:patternFill>
    </x:fill>
    <x:fill>
      <x:patternFill patternType="solid">
        <x:fgColor rgb="FF1D3265"/>
      </x:patternFill>
    </x:fill>
    <x:fill>
      <x:patternFill patternType="solid">
        <x:fgColor rgb="FFD8ECF8"/>
      </x:patternFill>
    </x:fill>
    <x:fill>
      <x:patternFill patternType="solid">
        <x:fgColor rgb="FF294F7A"/>
      </x:patternFill>
    </x:fill>
    <x:fill>
      <x:patternFill patternType="solid">
        <x:fgColor rgb="FFF1F5F9"/>
      </x:patternFill>
    </x:fill>
    <x:fill>
      <x:patternFill patternType="solid">
        <x:fgColor rgb="FF1D3265"/>
      </x:patternFill>
    </x:fill>
    <x:fill>
      <x:patternFill patternType="solid">
        <x:fgColor rgb="FFD8ECF8"/>
      </x:patternFill>
    </x:fill>
    <x:fill>
      <x:patternFill patternType="solid">
        <x:fgColor rgb="FF294F7A"/>
      </x:patternFill>
    </x:fill>
    <x:fill>
      <x:patternFill patternType="solid">
        <x:fgColor rgb="FFF1F5F9"/>
      </x:patternFill>
    </x:fill>
    <x:fill>
      <x:patternFill patternType="solid">
        <x:fgColor rgb="FF1D3265"/>
      </x:patternFill>
    </x:fill>
    <x:fill>
      <x:patternFill patternType="solid">
        <x:fgColor rgb="FFD8ECF8"/>
      </x:patternFill>
    </x:fill>
    <x:fill>
      <x:patternFill patternType="solid">
        <x:fgColor rgb="FF294F7A"/>
      </x:patternFill>
    </x:fill>
    <x:fill>
      <x:patternFill patternType="solid">
        <x:fgColor rgb="FFE8F3E8"/>
      </x:patternFill>
    </x:fill>
    <x:fill>
      <x:patternFill patternType="solid">
        <x:fgColor rgb="FFF1F5F9"/>
      </x:patternFill>
    </x:fill>
    <x:fill>
      <x:patternFill patternType="solid">
        <x:fgColor rgb="FF1D3265"/>
      </x:patternFill>
    </x:fill>
    <x:fill>
      <x:patternFill patternType="solid">
        <x:fgColor rgb="FFD8ECF8"/>
      </x:patternFill>
    </x:fill>
    <x:fill>
      <x:patternFill patternType="solid">
        <x:fgColor rgb="FF294F7A"/>
      </x:patternFill>
    </x:fill>
    <x:fill>
      <x:patternFill patternType="solid">
        <x:fgColor rgb="FFF1F5F9"/>
      </x:patternFill>
    </x:fill>
    <x:fill>
      <x:patternFill patternType="solid">
        <x:fgColor rgb="FFFFF7ED"/>
      </x:patternFill>
    </x:fill>
    <x:fill>
      <x:patternFill patternType="solid">
        <x:fgColor rgb="FF1B2B5B"/>
      </x:patternFill>
    </x:fill>
    <x:fill>
      <x:patternFill patternType="solid">
        <x:fgColor rgb="FFDCEEF8"/>
      </x:patternFill>
    </x:fill>
    <x:fill>
      <x:patternFill patternType="solid">
        <x:fgColor rgb="FF24456E"/>
      </x:patternFill>
    </x:fill>
    <x:fill>
      <x:patternFill patternType="solid">
        <x:fgColor rgb="FFF5F8FC"/>
      </x:patternFill>
    </x:fill>
  </x:fills>
  <x:borders count="29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  <x:bottom style="thin">
        <x:color rgb="FF94A3B8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6DFEA"/>
      </x:left>
      <x:right style="thin">
        <x:color rgb="FFD6DFEA"/>
      </x:right>
      <x:top style="thin">
        <x:color rgb="FFD6DFEA"/>
      </x:top>
      <x:bottom style="thin">
        <x:color rgb="FFD6DFEA"/>
      </x:bottom>
    </x:border>
    <x:border>
      <x:bottom style="thin">
        <x:color rgb="FFD7E0EA"/>
      </x:bottom>
    </x:border>
    <x:border>
      <x:top style="thin">
        <x:color rgb="FFD7E0EA"/>
      </x:top>
      <x:bottom style="thin">
        <x:color rgb="FFD7E0EA"/>
      </x:bottom>
    </x:border>
    <x:border>
      <x:top style="thin">
        <x:color rgb="FFD7E0EA"/>
      </x:top>
      <x:bottom style="thin">
        <x:color rgb="FFA8B7C7"/>
      </x:bottom>
    </x:border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3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left" vertical="center"/>
    </x:xf>
    <x:xf numFmtId="0" fontId="4" fillId="5" borderId="5" xfId="0" applyNumberFormat="1" applyFont="1" applyFill="1" applyBorder="1" applyAlignment="1">
      <x:alignment horizontal="left" vertical="center"/>
    </x:xf>
    <x:xf numFmtId="0" fontId="4" fillId="5" borderId="6" xfId="0" applyNumberFormat="1" applyFont="1" applyFill="1" applyBorder="1" applyAlignment="1">
      <x:alignment horizontal="left" vertical="center"/>
    </x:xf>
    <x:xf numFmtId="0" fontId="4" fillId="5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0" fontId="4" fillId="5" borderId="6" xfId="0" applyNumberFormat="1" applyFont="1" applyFill="1" applyBorder="1" applyAlignment="1">
      <x:alignment horizontal="right" vertical="center"/>
    </x:xf>
    <x:xf numFmtId="201" fontId="4" fillId="5" borderId="4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201" fontId="4" fillId="5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horizontal="right" vertical="center"/>
    </x:xf>
    <x:xf numFmtId="202" fontId="4" fillId="5" borderId="5" xfId="0" applyNumberFormat="1" applyFont="1" applyFill="1" applyBorder="1" applyAlignment="1">
      <x:alignment horizontal="right" vertical="center"/>
    </x:xf>
    <x:xf numFmtId="202" fontId="4" fillId="5" borderId="6" xfId="0" applyNumberFormat="1" applyFont="1" applyFill="1" applyBorder="1" applyAlignment="1">
      <x:alignment horizontal="right" vertical="center"/>
    </x:xf>
    <x:xf numFmtId="203" fontId="4" fillId="5" borderId="4" xfId="0" applyNumberFormat="1" applyFont="1" applyFill="1" applyBorder="1" applyAlignment="1">
      <x:alignment horizontal="right" vertical="center"/>
    </x:xf>
    <x:xf numFmtId="203" fontId="4" fillId="5" borderId="5" xfId="0" applyNumberFormat="1" applyFont="1" applyFill="1" applyBorder="1" applyAlignment="1">
      <x:alignment horizontal="right" vertical="center"/>
    </x:xf>
    <x:xf numFmtId="203" fontId="4" fillId="5" borderId="6" xfId="0" applyNumberFormat="1" applyFont="1" applyFill="1" applyBorder="1" applyAlignment="1">
      <x:alignment horizontal="right" vertical="center"/>
    </x:xf>
    <x:xf numFmtId="204" fontId="4" fillId="5" borderId="4" xfId="0" applyNumberFormat="1" applyFont="1" applyFill="1" applyBorder="1" applyAlignment="1">
      <x:alignment horizontal="right" vertical="center"/>
    </x:xf>
    <x:xf numFmtId="204" fontId="4" fillId="5" borderId="5" xfId="0" applyNumberFormat="1" applyFont="1" applyFill="1" applyBorder="1" applyAlignment="1">
      <x:alignment horizontal="right" vertical="center"/>
    </x:xf>
    <x:xf numFmtId="204" fontId="4" fillId="5" borderId="6" xfId="0" applyNumberFormat="1" applyFont="1" applyFill="1" applyBorder="1" applyAlignment="1">
      <x:alignment horizontal="right" vertical="center"/>
    </x:xf>
    <x:xf numFmtId="205" fontId="4" fillId="5" borderId="4" xfId="0" applyNumberFormat="1" applyFont="1" applyFill="1" applyBorder="1" applyAlignment="1">
      <x:alignment horizontal="right" vertical="center"/>
    </x:xf>
    <x:xf numFmtId="205" fontId="4" fillId="5" borderId="5" xfId="0" applyNumberFormat="1" applyFont="1" applyFill="1" applyBorder="1" applyAlignment="1">
      <x:alignment horizontal="right" vertical="center"/>
    </x:xf>
    <x:xf numFmtId="205" fontId="4" fillId="5" borderId="6" xfId="0" applyNumberFormat="1" applyFont="1" applyFill="1" applyBorder="1" applyAlignment="1">
      <x:alignment horizontal="right" vertical="center"/>
    </x:xf>
    <x:xf numFmtId="0" fontId="4" fillId="7" borderId="4" xfId="0" applyNumberFormat="1" applyFont="1" applyFill="1" applyBorder="1" applyAlignment="1">
      <x:alignment horizontal="left" vertical="center"/>
    </x:xf>
    <x:xf numFmtId="202" fontId="4" fillId="7" borderId="4" xfId="0" applyNumberFormat="1" applyFont="1" applyFill="1" applyBorder="1" applyAlignment="1">
      <x:alignment horizontal="right" vertical="center"/>
    </x:xf>
    <x:xf numFmtId="203" fontId="4" fillId="7" borderId="4" xfId="0" applyNumberFormat="1" applyFont="1" applyFill="1" applyBorder="1" applyAlignment="1">
      <x:alignment horizontal="right" vertical="center"/>
    </x:xf>
    <x:xf numFmtId="204" fontId="4" fillId="7" borderId="4" xfId="0" applyNumberFormat="1" applyFont="1" applyFill="1" applyBorder="1" applyAlignment="1">
      <x:alignment horizontal="right" vertical="center"/>
    </x:xf>
    <x:xf numFmtId="205" fontId="4" fillId="7" borderId="4" xfId="0" applyNumberFormat="1" applyFont="1" applyFill="1" applyBorder="1" applyAlignment="1">
      <x:alignment horizontal="right" vertical="center"/>
    </x:xf>
    <x:xf numFmtId="0" fontId="6" fillId="7" borderId="4" xfId="0" applyNumberFormat="1" applyFont="1" applyFill="1" applyBorder="1" applyAlignment="1">
      <x:alignment horizontal="left" vertical="center"/>
    </x:xf>
    <x:xf numFmtId="202" fontId="6" fillId="7" borderId="4" xfId="0" applyNumberFormat="1" applyFont="1" applyFill="1" applyBorder="1" applyAlignment="1">
      <x:alignment horizontal="right" vertical="center"/>
    </x:xf>
    <x:xf numFmtId="203" fontId="6" fillId="7" borderId="4" xfId="0" applyNumberFormat="1" applyFont="1" applyFill="1" applyBorder="1" applyAlignment="1">
      <x:alignment horizontal="right" vertical="center"/>
    </x:xf>
    <x:xf numFmtId="204" fontId="6" fillId="7" borderId="4" xfId="0" applyNumberFormat="1" applyFont="1" applyFill="1" applyBorder="1" applyAlignment="1">
      <x:alignment horizontal="right" vertical="center"/>
    </x:xf>
    <x:xf numFmtId="205" fontId="6" fillId="7" borderId="4" xfId="0" applyNumberFormat="1" applyFont="1" applyFill="1" applyBorder="1" applyAlignment="1">
      <x:alignment horizontal="right" vertical="center"/>
    </x:xf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horizontal="left"/>
    </x:xf>
    <x:xf numFmtId="0" fontId="0" fillId="0" borderId="16" xfId="0" applyNumberFormat="1" applyFont="1" applyFill="1" applyBorder="1" applyAlignment="1">
      <x:alignment horizontal="right"/>
    </x:xf>
    <x:xf numFmtId="200" fontId="0" fillId="0" borderId="16" xfId="0" applyNumberFormat="1" applyFont="1" applyFill="1" applyBorder="1" applyAlignment="1">
      <x:alignment horizontal="right"/>
    </x:xf>
    <x:xf numFmtId="201" fontId="0" fillId="0" borderId="16" xfId="0" applyNumberFormat="1" applyFont="1" applyFill="1" applyBorder="1" applyAlignment="1">
      <x:alignment horizontal="right"/>
    </x:xf>
    <x:xf numFmtId="0" fontId="10" fillId="8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206" fontId="0" fillId="0" borderId="16" xfId="0" applyNumberFormat="1" applyFont="1" applyFill="1" applyBorder="1"/>
    <x:xf numFmtId="207" fontId="0" fillId="0" borderId="16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horizont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horizont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10" fillId="16" borderId="0" xfId="0" applyNumberFormat="1" applyFont="1" applyFill="1" applyBorder="1"/>
    <x:xf numFmtId="0" fontId="9" fillId="18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207" fontId="0" fillId="0" borderId="18" xfId="0" applyNumberFormat="1" applyFont="1" applyFill="1" applyBorder="1"/>
    <x:xf numFmtId="207" fontId="0" fillId="0" borderId="19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/>
    </x:xf>
    <x:xf numFmtId="0" fontId="16" fillId="1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18" borderId="17" xfId="0" applyNumberFormat="1" applyFont="1" applyFill="1" applyBorder="1" applyAlignment="1">
      <x:alignment horizontal="center" vertical="center" wrapText="1"/>
    </x:xf>
    <x:xf numFmtId="0" fontId="17" fillId="0" borderId="18" xfId="0" applyNumberFormat="1" applyFont="1" applyFill="1" applyBorder="1"/>
    <x:xf numFmtId="200" fontId="17" fillId="0" borderId="18" xfId="0" applyNumberFormat="1" applyFont="1" applyFill="1" applyBorder="1"/>
    <x:xf numFmtId="201" fontId="17" fillId="0" borderId="18" xfId="0" applyNumberFormat="1" applyFont="1" applyFill="1" applyBorder="1"/>
    <x:xf numFmtId="207" fontId="17" fillId="0" borderId="18" xfId="0" applyNumberFormat="1" applyFont="1" applyFill="1" applyBorder="1"/>
    <x:xf numFmtId="0" fontId="17" fillId="0" borderId="19" xfId="0" applyNumberFormat="1" applyFont="1" applyFill="1" applyBorder="1"/>
    <x:xf numFmtId="200" fontId="17" fillId="0" borderId="19" xfId="0" applyNumberFormat="1" applyFont="1" applyFill="1" applyBorder="1"/>
    <x:xf numFmtId="201" fontId="17" fillId="0" borderId="19" xfId="0" applyNumberFormat="1" applyFont="1" applyFill="1" applyBorder="1"/>
    <x:xf numFmtId="207" fontId="17" fillId="0" borderId="19" xfId="0" applyNumberFormat="1" applyFont="1" applyFill="1" applyBorder="1"/>
    <x:xf numFmtId="0" fontId="19" fillId="16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6" fillId="21" borderId="0" xfId="0" applyNumberFormat="1" applyFont="1" applyFill="1" applyBorder="1"/>
    <x:xf numFmtId="0" fontId="16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wrapText="1"/>
    </x:xf>
    <x:xf numFmtId="0" fontId="18" fillId="22" borderId="0" xfId="0" applyNumberFormat="1" applyFont="1" applyFill="1" applyBorder="1" applyAlignment="1">
      <x:alignment horizontal="center" wrapText="1"/>
    </x:xf>
    <x:xf numFmtId="0" fontId="18" fillId="22" borderId="0" xfId="0" applyNumberFormat="1" applyFont="1" applyFill="1" applyBorder="1" applyAlignment="1">
      <x:alignment horizontal="center" vertical="center" wrapText="1"/>
    </x:xf>
    <x:xf numFmtId="0" fontId="19" fillId="20" borderId="0" xfId="0" applyNumberFormat="1" applyFont="1" applyFill="1" applyBorder="1"/>
    <x:xf numFmtId="0" fontId="18" fillId="22" borderId="17" xfId="0" applyNumberFormat="1" applyFont="1" applyFill="1" applyBorder="1" applyAlignment="1">
      <x:alignment horizontal="center" vertical="center" wrapText="1"/>
    </x:xf>
    <x:xf numFmtId="208" fontId="17" fillId="0" borderId="19" xfId="0" applyNumberFormat="1" applyFont="1" applyFill="1" applyBorder="1"/>
    <x:xf numFmtId="0" fontId="17" fillId="23" borderId="0" xfId="0" applyNumberFormat="1" applyFont="1" applyFill="1" applyBorder="1"/>
    <x:xf numFmtId="0" fontId="20" fillId="23" borderId="0" xfId="0" applyNumberFormat="1" applyFont="1" applyFill="1" applyBorder="1"/>
    <x:xf numFmtId="0" fontId="20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5" fillId="24" borderId="0" xfId="0" applyNumberFormat="1" applyFont="1" applyFill="1" applyBorder="1"/>
    <x:xf numFmtId="0" fontId="15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16" fillId="25" borderId="0" xfId="0" applyNumberFormat="1" applyFont="1" applyFill="1" applyBorder="1"/>
    <x:xf numFmtId="0" fontId="16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8" fillId="26" borderId="0" xfId="0" applyNumberFormat="1" applyFont="1" applyFill="1" applyBorder="1"/>
    <x:xf numFmtId="0" fontId="18" fillId="26" borderId="0" xfId="0" applyNumberFormat="1" applyFont="1" applyFill="1" applyBorder="1" applyAlignment="1">
      <x:alignment wrapText="1"/>
    </x:xf>
    <x:xf numFmtId="0" fontId="18" fillId="26" borderId="0" xfId="0" applyNumberFormat="1" applyFont="1" applyFill="1" applyBorder="1" applyAlignment="1">
      <x:alignment horizont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9" fillId="24" borderId="0" xfId="0" applyNumberFormat="1" applyFont="1" applyFill="1" applyBorder="1"/>
    <x:xf numFmtId="0" fontId="18" fillId="26" borderId="17" xfId="0" applyNumberFormat="1" applyFont="1" applyFill="1" applyBorder="1" applyAlignment="1">
      <x:alignment horizontal="center" vertical="center" wrapText="1"/>
    </x:xf>
    <x:xf numFmtId="0" fontId="17" fillId="27" borderId="18" xfId="0" applyNumberFormat="1" applyFont="1" applyFill="1" applyBorder="1"/>
    <x:xf numFmtId="0" fontId="17" fillId="27" borderId="19" xfId="0" applyNumberFormat="1" applyFont="1" applyFill="1" applyBorder="1"/>
    <x:xf numFmtId="0" fontId="21" fillId="27" borderId="18" xfId="0" applyNumberFormat="1" applyFont="1" applyFill="1" applyBorder="1"/>
    <x:xf numFmtId="0" fontId="21" fillId="27" borderId="19" xfId="0" applyNumberFormat="1" applyFont="1" applyFill="1" applyBorder="1"/>
    <x:xf numFmtId="0" fontId="21" fillId="27" borderId="18" xfId="0" applyNumberFormat="1" applyFont="1" applyFill="1" applyBorder="1" applyAlignment="1">
      <x:alignment horizontal="center"/>
    </x:xf>
    <x:xf numFmtId="0" fontId="21" fillId="27" borderId="19" xfId="0" applyNumberFormat="1" applyFont="1" applyFill="1" applyBorder="1" applyAlignment="1">
      <x:alignment horizontal="center"/>
    </x:xf>
    <x:xf numFmtId="0" fontId="17" fillId="28" borderId="0" xfId="0" applyNumberFormat="1" applyFont="1" applyFill="1" applyBorder="1"/>
    <x:xf numFmtId="0" fontId="20" fillId="28" borderId="0" xfId="0" applyNumberFormat="1" applyFont="1" applyFill="1" applyBorder="1"/>
    <x:xf numFmtId="0" fontId="20" fillId="2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15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0" xfId="0" applyNumberFormat="1" applyFont="1" applyFill="1" applyBorder="1" applyAlignment="1">
      <x:alignment wrapText="1"/>
    </x:xf>
    <x:xf numFmtId="0" fontId="18" fillId="31" borderId="0" xfId="0" applyNumberFormat="1" applyFont="1" applyFill="1" applyBorder="1" applyAlignment="1">
      <x:alignment horizontal="center" wrapText="1"/>
    </x:xf>
    <x:xf numFmtId="0" fontId="18" fillId="31" borderId="0" xfId="0" applyNumberFormat="1" applyFont="1" applyFill="1" applyBorder="1" applyAlignment="1">
      <x:alignment horizontal="center" vertical="center" wrapText="1"/>
    </x:xf>
    <x:xf numFmtId="0" fontId="19" fillId="29" borderId="0" xfId="0" applyNumberFormat="1" applyFont="1" applyFill="1" applyBorder="1"/>
    <x:xf numFmtId="0" fontId="18" fillId="31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7" fillId="0" borderId="18" xfId="0" applyNumberFormat="1" applyFont="1" applyFill="1" applyBorder="1" applyAlignment="1">
      <x:alignment wrapText="1"/>
    </x:xf>
    <x:xf numFmtId="0" fontId="17" fillId="0" borderId="19" xfId="0" applyNumberFormat="1" applyFont="1" applyFill="1" applyBorder="1" applyAlignment="1">
      <x:alignment wrapText="1"/>
    </x:xf>
    <x:xf numFmtId="204" fontId="17" fillId="0" borderId="18" xfId="0" applyNumberFormat="1" applyFont="1" applyFill="1" applyBorder="1"/>
    <x:xf numFmtId="0" fontId="17" fillId="32" borderId="0" xfId="0" applyNumberFormat="1" applyFont="1" applyFill="1" applyBorder="1"/>
    <x:xf numFmtId="0" fontId="20" fillId="32" borderId="0" xfId="0" applyNumberFormat="1" applyFont="1" applyFill="1" applyBorder="1"/>
    <x:xf numFmtId="0" fontId="20" fillId="32" borderId="0" xfId="0" applyNumberFormat="1" applyFont="1" applyFill="1" applyBorder="1" applyAlignment="1">
      <x:alignment wrapText="1"/>
    </x:xf>
    <x:xf numFmtId="0" fontId="17" fillId="33" borderId="0" xfId="0" applyNumberFormat="1" applyFont="1" applyFill="1" applyBorder="1"/>
    <x:xf numFmtId="0" fontId="22" fillId="33" borderId="0" xfId="0" applyNumberFormat="1" applyFont="1" applyFill="1" applyBorder="1"/>
    <x:xf numFmtId="0" fontId="22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3" fillId="35" borderId="0" xfId="0" applyNumberFormat="1" applyFont="1" applyFill="1" applyBorder="1"/>
    <x:xf numFmtId="0" fontId="23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9" fillId="36" borderId="0" xfId="0" applyNumberFormat="1" applyFont="1" applyFill="1" applyBorder="1"/>
    <x:xf numFmtId="0" fontId="9" fillId="36" borderId="0" xfId="0" applyNumberFormat="1" applyFont="1" applyFill="1" applyBorder="1" applyAlignment="1">
      <x:alignment wrapText="1"/>
    </x:xf>
    <x:xf numFmtId="0" fontId="9" fillId="36" borderId="0" xfId="0" applyNumberFormat="1" applyFont="1" applyFill="1" applyBorder="1" applyAlignment="1">
      <x:alignment horizontal="center" wrapText="1"/>
    </x:xf>
    <x:xf numFmtId="0" fontId="9" fillId="36" borderId="0" xfId="0" applyNumberFormat="1" applyFont="1" applyFill="1" applyBorder="1" applyAlignment="1">
      <x:alignment horizontal="center" vertical="center" wrapText="1"/>
    </x:xf>
    <x:xf numFmtId="0" fontId="24" fillId="34" borderId="0" xfId="0" applyNumberFormat="1" applyFont="1" applyFill="1" applyBorder="1"/>
    <x:xf numFmtId="0" fontId="24" fillId="34" borderId="0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0" xfId="0" applyNumberFormat="1" applyFont="1" applyFill="1" applyBorder="1" applyAlignment="1">
      <x:alignment horizontal="left"/>
    </x:xf>
    <x:xf numFmtId="0" fontId="0" fillId="0" borderId="21" xfId="0" applyNumberFormat="1" applyFont="1" applyFill="1" applyBorder="1" applyAlignment="1">
      <x:alignment horizontal="left"/>
    </x:xf>
    <x:xf numFmtId="0" fontId="0" fillId="0" borderId="23" xfId="0" applyNumberFormat="1" applyFont="1" applyFill="1" applyBorder="1" applyAlignment="1">
      <x:alignment horizontal="left"/>
    </x:xf>
    <x:xf numFmtId="0" fontId="0" fillId="0" borderId="24" xfId="0" applyNumberFormat="1" applyFont="1" applyFill="1" applyBorder="1" applyAlignment="1">
      <x:alignment horizontal="left"/>
    </x:xf>
    <x:xf numFmtId="0" fontId="0" fillId="0" borderId="26" xfId="0" applyNumberFormat="1" applyFont="1" applyFill="1" applyBorder="1" applyAlignment="1">
      <x:alignment horizontal="left"/>
    </x:xf>
    <x:xf numFmtId="0" fontId="0" fillId="0" borderId="27" xfId="0" applyNumberFormat="1" applyFont="1" applyFill="1" applyBorder="1" applyAlignment="1">
      <x:alignment horizontal="left"/>
    </x:xf>
    <x:xf numFmtId="0" fontId="0" fillId="0" borderId="21" xfId="0" applyNumberFormat="1" applyFont="1" applyFill="1" applyBorder="1" applyAlignment="1">
      <x:alignment horizontal="right"/>
    </x:xf>
    <x:xf numFmtId="0" fontId="0" fillId="0" borderId="22" xfId="0" applyNumberFormat="1" applyFont="1" applyFill="1" applyBorder="1" applyAlignment="1">
      <x:alignment horizontal="right"/>
    </x:xf>
    <x:xf numFmtId="0" fontId="0" fillId="0" borderId="24" xfId="0" applyNumberFormat="1" applyFont="1" applyFill="1" applyBorder="1" applyAlignment="1">
      <x:alignment horizontal="right"/>
    </x:xf>
    <x:xf numFmtId="0" fontId="0" fillId="0" borderId="25" xfId="0" applyNumberFormat="1" applyFont="1" applyFill="1" applyBorder="1" applyAlignment="1">
      <x:alignment horizontal="right"/>
    </x:xf>
    <x:xf numFmtId="0" fontId="0" fillId="0" borderId="27" xfId="0" applyNumberFormat="1" applyFont="1" applyFill="1" applyBorder="1" applyAlignment="1">
      <x:alignment horizontal="right"/>
    </x:xf>
    <x:xf numFmtId="0" fontId="0" fillId="0" borderId="28" xfId="0" applyNumberFormat="1" applyFont="1" applyFill="1" applyBorder="1" applyAlignment="1">
      <x:alignment horizontal="right"/>
    </x:xf>
    <x:xf numFmtId="206" fontId="0" fillId="0" borderId="21" xfId="0" applyNumberFormat="1" applyFont="1" applyFill="1" applyBorder="1" applyAlignment="1">
      <x:alignment horizontal="right"/>
    </x:xf>
    <x:xf numFmtId="206" fontId="0" fillId="0" borderId="24" xfId="0" applyNumberFormat="1" applyFont="1" applyFill="1" applyBorder="1" applyAlignment="1">
      <x:alignment horizontal="right"/>
    </x:xf>
    <x:xf numFmtId="206" fontId="0" fillId="0" borderId="27" xfId="0" applyNumberFormat="1" applyFont="1" applyFill="1" applyBorder="1" applyAlignment="1">
      <x:alignment horizontal="right"/>
    </x:xf>
    <x:xf numFmtId="201" fontId="0" fillId="0" borderId="21" xfId="0" applyNumberFormat="1" applyFont="1" applyFill="1" applyBorder="1" applyAlignment="1">
      <x:alignment horizontal="right"/>
    </x:xf>
    <x:xf numFmtId="201" fontId="0" fillId="0" borderId="24" xfId="0" applyNumberFormat="1" applyFont="1" applyFill="1" applyBorder="1" applyAlignment="1">
      <x:alignment horizontal="right"/>
    </x:xf>
    <x:xf numFmtId="201" fontId="0" fillId="0" borderId="27" xfId="0" applyNumberFormat="1" applyFont="1" applyFill="1" applyBorder="1" applyAlignment="1">
      <x:alignment horizontal="right"/>
    </x:xf>
    <x:xf numFmtId="208" fontId="0" fillId="0" borderId="21" xfId="0" applyNumberFormat="1" applyFont="1" applyFill="1" applyBorder="1" applyAlignment="1">
      <x:alignment horizontal="right"/>
    </x:xf>
    <x:xf numFmtId="208" fontId="0" fillId="0" borderId="24" xfId="0" applyNumberFormat="1" applyFont="1" applyFill="1" applyBorder="1" applyAlignment="1">
      <x:alignment horizontal="right"/>
    </x:xf>
    <x:xf numFmtId="208" fontId="0" fillId="0" borderId="27" xfId="0" applyNumberFormat="1" applyFont="1" applyFill="1" applyBorder="1" applyAlignment="1">
      <x:alignment horizontal="right"/>
    </x:xf>
    <x:xf numFmtId="209" fontId="0" fillId="0" borderId="21" xfId="0" applyNumberFormat="1" applyFont="1" applyFill="1" applyBorder="1" applyAlignment="1">
      <x:alignment horizontal="right"/>
    </x:xf>
    <x:xf numFmtId="209" fontId="0" fillId="0" borderId="24" xfId="0" applyNumberFormat="1" applyFont="1" applyFill="1" applyBorder="1" applyAlignment="1">
      <x:alignment horizontal="right"/>
    </x:xf>
    <x:xf numFmtId="209" fontId="0" fillId="0" borderId="27" xfId="0" applyNumberFormat="1" applyFont="1" applyFill="1" applyBorder="1" applyAlignment="1">
      <x:alignment horizontal="right"/>
    </x:xf>
    <x:xf numFmtId="204" fontId="0" fillId="0" borderId="22" xfId="0" applyNumberFormat="1" applyFont="1" applyFill="1" applyBorder="1" applyAlignment="1">
      <x:alignment horizontal="right"/>
    </x:xf>
    <x:xf numFmtId="204" fontId="0" fillId="0" borderId="25" xfId="0" applyNumberFormat="1" applyFont="1" applyFill="1" applyBorder="1" applyAlignment="1">
      <x:alignment horizontal="right"/>
    </x:xf>
    <x:xf numFmtId="204" fontId="0" fillId="0" borderId="28" xfId="0" applyNumberFormat="1" applyFont="1" applyFill="1" applyBorder="1" applyAlignment="1">
      <x:alignment horizontal="right"/>
    </x:xf>
    <x:xf numFmtId="200" fontId="0" fillId="0" borderId="21" xfId="0" applyNumberFormat="1" applyFont="1" applyFill="1" applyBorder="1" applyAlignment="1">
      <x:alignment horizontal="right"/>
    </x:xf>
    <x:xf numFmtId="200" fontId="0" fillId="0" borderId="24" xfId="0" applyNumberFormat="1" applyFont="1" applyFill="1" applyBorder="1" applyAlignment="1">
      <x:alignment horizontal="right"/>
    </x:xf>
    <x:xf numFmtId="200" fontId="0" fillId="0" borderId="27" xfId="0" applyNumberFormat="1" applyFont="1" applyFill="1" applyBorder="1" applyAlignment="1">
      <x:alignment horizontal="right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0" xfId="0" applyNumberFormat="1" applyFont="1" applyFill="1" applyBorder="1" applyAlignment="1">
      <x:alignment wrapText="1"/>
    </x:xf>
    <x:xf numFmtId="0" fontId="25" fillId="37" borderId="0" xfId="0" applyNumberFormat="1" applyFont="1" applyFill="1" applyBorder="1" applyAlignment="1">
      <x:alignment vertical="center" wrapText="1"/>
    </x:xf>
    <x:xf numFmtId="0" fontId="26" fillId="0" borderId="20" xfId="0" applyNumberFormat="1" applyFont="1" applyFill="1" applyBorder="1" applyAlignment="1">
      <x:alignment horizontal="left"/>
    </x:xf>
    <x:xf numFmtId="0" fontId="26" fillId="0" borderId="21" xfId="0" applyNumberFormat="1" applyFont="1" applyFill="1" applyBorder="1" applyAlignment="1">
      <x:alignment horizontal="left"/>
    </x:xf>
    <x:xf numFmtId="206" fontId="26" fillId="0" borderId="21" xfId="0" applyNumberFormat="1" applyFont="1" applyFill="1" applyBorder="1" applyAlignment="1">
      <x:alignment horizontal="right"/>
    </x:xf>
    <x:xf numFmtId="201" fontId="26" fillId="0" borderId="21" xfId="0" applyNumberFormat="1" applyFont="1" applyFill="1" applyBorder="1" applyAlignment="1">
      <x:alignment horizontal="right"/>
    </x:xf>
    <x:xf numFmtId="208" fontId="26" fillId="0" borderId="21" xfId="0" applyNumberFormat="1" applyFont="1" applyFill="1" applyBorder="1" applyAlignment="1">
      <x:alignment horizontal="right"/>
    </x:xf>
    <x:xf numFmtId="209" fontId="26" fillId="0" borderId="21" xfId="0" applyNumberFormat="1" applyFont="1" applyFill="1" applyBorder="1" applyAlignment="1">
      <x:alignment horizontal="right"/>
    </x:xf>
    <x:xf numFmtId="204" fontId="26" fillId="0" borderId="22" xfId="0" applyNumberFormat="1" applyFont="1" applyFill="1" applyBorder="1" applyAlignment="1">
      <x:alignment horizontal="right"/>
    </x:xf>
    <x:xf numFmtId="0" fontId="27" fillId="0" borderId="26" xfId="0" applyNumberFormat="1" applyFont="1" applyFill="1" applyBorder="1" applyAlignment="1">
      <x:alignment horizontal="left"/>
    </x:xf>
    <x:xf numFmtId="0" fontId="27" fillId="0" borderId="27" xfId="0" applyNumberFormat="1" applyFont="1" applyFill="1" applyBorder="1" applyAlignment="1">
      <x:alignment horizontal="left"/>
    </x:xf>
    <x:xf numFmtId="206" fontId="27" fillId="0" borderId="27" xfId="0" applyNumberFormat="1" applyFont="1" applyFill="1" applyBorder="1" applyAlignment="1">
      <x:alignment horizontal="right"/>
    </x:xf>
    <x:xf numFmtId="201" fontId="27" fillId="0" borderId="27" xfId="0" applyNumberFormat="1" applyFont="1" applyFill="1" applyBorder="1" applyAlignment="1">
      <x:alignment horizontal="right"/>
    </x:xf>
    <x:xf numFmtId="208" fontId="27" fillId="0" borderId="27" xfId="0" applyNumberFormat="1" applyFont="1" applyFill="1" applyBorder="1" applyAlignment="1">
      <x:alignment horizontal="right"/>
    </x:xf>
    <x:xf numFmtId="209" fontId="27" fillId="0" borderId="27" xfId="0" applyNumberFormat="1" applyFont="1" applyFill="1" applyBorder="1" applyAlignment="1">
      <x:alignment horizontal="right"/>
    </x:xf>
    <x:xf numFmtId="204" fontId="27" fillId="0" borderId="28" xfId="0" applyNumberFormat="1" applyFont="1" applyFill="1" applyBorder="1" applyAlignment="1">
      <x:alignment horizontal="right"/>
    </x:xf>
    <x:xf numFmtId="0" fontId="28" fillId="34" borderId="0" xfId="0" applyNumberFormat="1" applyFont="1" applyFill="1" applyBorder="1" applyAlignment="1">
      <x:alignment vertical="center"/>
    </x:xf>
    <x:xf numFmtId="0" fontId="29" fillId="35" borderId="0" xfId="0" applyNumberFormat="1" applyFont="1" applyFill="1" applyBorder="1" applyAlignment="1">
      <x:alignment vertical="center"/>
    </x:xf>
    <x:xf numFmtId="0" fontId="18" fillId="36" borderId="0" xfId="0" applyNumberFormat="1" applyFont="1" applyFill="1" applyBorder="1" applyAlignment="1">
      <x:alignment horizontal="center" vertical="center" wrapText="1"/>
    </x:xf>
    <x:xf numFmtId="0" fontId="30" fillId="0" borderId="20" xfId="0" applyNumberFormat="1" applyFont="1" applyFill="1" applyBorder="1" applyAlignment="1">
      <x:alignment horizontal="left"/>
    </x:xf>
    <x:xf numFmtId="0" fontId="30" fillId="0" borderId="21" xfId="0" applyNumberFormat="1" applyFont="1" applyFill="1" applyBorder="1" applyAlignment="1">
      <x:alignment horizontal="left"/>
    </x:xf>
    <x:xf numFmtId="206" fontId="30" fillId="0" borderId="21" xfId="0" applyNumberFormat="1" applyFont="1" applyFill="1" applyBorder="1" applyAlignment="1">
      <x:alignment horizontal="right"/>
    </x:xf>
    <x:xf numFmtId="201" fontId="30" fillId="0" borderId="21" xfId="0" applyNumberFormat="1" applyFont="1" applyFill="1" applyBorder="1" applyAlignment="1">
      <x:alignment horizontal="right"/>
    </x:xf>
    <x:xf numFmtId="208" fontId="30" fillId="0" borderId="21" xfId="0" applyNumberFormat="1" applyFont="1" applyFill="1" applyBorder="1" applyAlignment="1">
      <x:alignment horizontal="right"/>
    </x:xf>
    <x:xf numFmtId="209" fontId="30" fillId="0" borderId="21" xfId="0" applyNumberFormat="1" applyFont="1" applyFill="1" applyBorder="1" applyAlignment="1">
      <x:alignment horizontal="right"/>
    </x:xf>
    <x:xf numFmtId="204" fontId="30" fillId="0" borderId="22" xfId="0" applyNumberFormat="1" applyFont="1" applyFill="1" applyBorder="1" applyAlignment="1">
      <x:alignment horizontal="right"/>
    </x:xf>
    <x:xf numFmtId="0" fontId="17" fillId="0" borderId="23" xfId="0" applyNumberFormat="1" applyFont="1" applyFill="1" applyBorder="1" applyAlignment="1">
      <x:alignment horizontal="left"/>
    </x:xf>
    <x:xf numFmtId="0" fontId="17" fillId="0" borderId="24" xfId="0" applyNumberFormat="1" applyFont="1" applyFill="1" applyBorder="1" applyAlignment="1">
      <x:alignment horizontal="left"/>
    </x:xf>
    <x:xf numFmtId="206" fontId="17" fillId="0" borderId="24" xfId="0" applyNumberFormat="1" applyFont="1" applyFill="1" applyBorder="1" applyAlignment="1">
      <x:alignment horizontal="right"/>
    </x:xf>
    <x:xf numFmtId="201" fontId="17" fillId="0" borderId="24" xfId="0" applyNumberFormat="1" applyFont="1" applyFill="1" applyBorder="1" applyAlignment="1">
      <x:alignment horizontal="right"/>
    </x:xf>
    <x:xf numFmtId="208" fontId="17" fillId="0" borderId="24" xfId="0" applyNumberFormat="1" applyFont="1" applyFill="1" applyBorder="1" applyAlignment="1">
      <x:alignment horizontal="right"/>
    </x:xf>
    <x:xf numFmtId="209" fontId="17" fillId="0" borderId="24" xfId="0" applyNumberFormat="1" applyFont="1" applyFill="1" applyBorder="1" applyAlignment="1">
      <x:alignment horizontal="right"/>
    </x:xf>
    <x:xf numFmtId="204" fontId="17" fillId="0" borderId="25" xfId="0" applyNumberFormat="1" applyFont="1" applyFill="1" applyBorder="1" applyAlignment="1">
      <x:alignment horizontal="right"/>
    </x:xf>
    <x:xf numFmtId="0" fontId="31" fillId="0" borderId="26" xfId="0" applyNumberFormat="1" applyFont="1" applyFill="1" applyBorder="1" applyAlignment="1">
      <x:alignment horizontal="left"/>
    </x:xf>
    <x:xf numFmtId="0" fontId="31" fillId="0" borderId="27" xfId="0" applyNumberFormat="1" applyFont="1" applyFill="1" applyBorder="1" applyAlignment="1">
      <x:alignment horizontal="left"/>
    </x:xf>
    <x:xf numFmtId="206" fontId="31" fillId="0" borderId="27" xfId="0" applyNumberFormat="1" applyFont="1" applyFill="1" applyBorder="1" applyAlignment="1">
      <x:alignment horizontal="right"/>
    </x:xf>
    <x:xf numFmtId="201" fontId="31" fillId="0" borderId="27" xfId="0" applyNumberFormat="1" applyFont="1" applyFill="1" applyBorder="1" applyAlignment="1">
      <x:alignment horizontal="right"/>
    </x:xf>
    <x:xf numFmtId="208" fontId="31" fillId="0" borderId="27" xfId="0" applyNumberFormat="1" applyFont="1" applyFill="1" applyBorder="1" applyAlignment="1">
      <x:alignment horizontal="right"/>
    </x:xf>
    <x:xf numFmtId="209" fontId="31" fillId="0" borderId="27" xfId="0" applyNumberFormat="1" applyFont="1" applyFill="1" applyBorder="1" applyAlignment="1">
      <x:alignment horizontal="right"/>
    </x:xf>
    <x:xf numFmtId="204" fontId="31" fillId="0" borderId="28" xfId="0" applyNumberFormat="1" applyFont="1" applyFill="1" applyBorder="1" applyAlignment="1">
      <x:alignment horizontal="right"/>
    </x:xf>
    <x:xf numFmtId="0" fontId="32" fillId="34" borderId="0" xfId="0" applyNumberFormat="1" applyFont="1" applyFill="1" applyBorder="1" applyAlignment="1">
      <x:alignment vertical="center"/>
    </x:xf>
    <x:xf numFmtId="0" fontId="17" fillId="0" borderId="20" xfId="0" applyNumberFormat="1" applyFont="1" applyFill="1" applyBorder="1"/>
    <x:xf numFmtId="200" fontId="17" fillId="0" borderId="21" xfId="0" applyNumberFormat="1" applyFont="1" applyFill="1" applyBorder="1" applyAlignment="1">
      <x:alignment horizontal="right"/>
    </x:xf>
    <x:xf numFmtId="201" fontId="17" fillId="0" borderId="21" xfId="0" applyNumberFormat="1" applyFont="1" applyFill="1" applyBorder="1" applyAlignment="1">
      <x:alignment horizontal="right"/>
    </x:xf>
    <x:xf numFmtId="0" fontId="17" fillId="0" borderId="22" xfId="0" applyNumberFormat="1" applyFont="1" applyFill="1" applyBorder="1"/>
    <x:xf numFmtId="0" fontId="17" fillId="0" borderId="23" xfId="0" applyNumberFormat="1" applyFont="1" applyFill="1" applyBorder="1"/>
    <x:xf numFmtId="200" fontId="17" fillId="0" borderId="24" xfId="0" applyNumberFormat="1" applyFont="1" applyFill="1" applyBorder="1" applyAlignment="1">
      <x:alignment horizontal="right"/>
    </x:xf>
    <x:xf numFmtId="0" fontId="17" fillId="0" borderId="25" xfId="0" applyNumberFormat="1" applyFont="1" applyFill="1" applyBorder="1"/>
    <x:xf numFmtId="0" fontId="17" fillId="0" borderId="26" xfId="0" applyNumberFormat="1" applyFont="1" applyFill="1" applyBorder="1"/>
    <x:xf numFmtId="200" fontId="17" fillId="0" borderId="27" xfId="0" applyNumberFormat="1" applyFont="1" applyFill="1" applyBorder="1" applyAlignment="1">
      <x:alignment horizontal="right"/>
    </x:xf>
    <x:xf numFmtId="201" fontId="17" fillId="0" borderId="27" xfId="0" applyNumberFormat="1" applyFont="1" applyFill="1" applyBorder="1" applyAlignment="1">
      <x:alignment horizontal="right"/>
    </x:xf>
    <x:xf numFmtId="0" fontId="17" fillId="0" borderId="28" xfId="0" applyNumberFormat="1" applyFont="1" applyFill="1" applyBorder="1"/>
    <x:xf numFmtId="0" fontId="33" fillId="3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76B35"/>
      </x:font>
      <x:fill>
        <x:patternFill patternType="solid">
          <x:bgColor rgb="FFD8F3DF"/>
        </x:patternFill>
      </x:fill>
    </x:dxf>
    <x:dxf>
      <x:font>
        <x:color rgb="FF8A2323"/>
      </x:font>
      <x:fill>
        <x:patternFill patternType="solid">
          <x:bgColor rgb="FFFAD4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d3821c5ff4ff9" /><Relationship Type="http://schemas.openxmlformats.org/officeDocument/2006/relationships/theme" Target="/xl/theme/theme1.xml" Id="R4b7fd70419204971" /><Relationship Type="http://schemas.openxmlformats.org/officeDocument/2006/relationships/sharedStrings" Target="/xl/sharedStrings.xml" Id="R5642f8d1a8ec466e" /><Relationship Type="http://schemas.openxmlformats.org/officeDocument/2006/relationships/worksheet" Target="/xl/worksheets/sheet1.xml" Id="R9b0e80d92f4e4d0c" /><Relationship Type="http://schemas.openxmlformats.org/officeDocument/2006/relationships/worksheet" Target="/xl/worksheets/sheet2.xml" Id="R1d42ea3110df42ff" /><Relationship Type="http://schemas.openxmlformats.org/officeDocument/2006/relationships/worksheet" Target="/xl/worksheets/sheet3.xml" Id="Ra905d591c1cd48fe" /><Relationship Type="http://schemas.openxmlformats.org/officeDocument/2006/relationships/worksheet" Target="/xl/worksheets/sheet4.xml" Id="R17e5c44162e14fbb" /><Relationship Type="http://schemas.openxmlformats.org/officeDocument/2006/relationships/worksheet" Target="/xl/worksheets/sheet5.xml" Id="R5fc14d8f10294afb" /><Relationship Type="http://schemas.openxmlformats.org/officeDocument/2006/relationships/worksheet" Target="/xl/worksheets/sheet6.xml" Id="R9bd090c8ca774a28" /><Relationship Type="http://schemas.openxmlformats.org/officeDocument/2006/relationships/worksheet" Target="/xl/worksheets/sheet7.xml" Id="Re135756942a3493a" /><Relationship Type="http://schemas.openxmlformats.org/officeDocument/2006/relationships/worksheet" Target="/xl/worksheets/sheet8.xml" Id="R2d0d094837204869" /><Relationship Type="http://schemas.openxmlformats.org/officeDocument/2006/relationships/worksheet" Target="/xl/worksheets/sheet9.xml" Id="R2f405c9c674c42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22" hidden="0" customWidth="1"/>
    <x:col min="4" max="4" width="29" hidden="0" customWidth="1"/>
  </x:cols>
  <x:sheetData>
    <x:row r="1" ht="34" customHeight="1">
      <x:c r="A1" s="3" t="str">
        <x:v>Hybrid Sparse GEMM Performance</x:v>
      </x:c>
      <x:c r="B1" s="3"/>
      <x:c r="C1" s="3"/>
      <x:c r="D1" s="3"/>
    </x:row>
    <x:row r="2" ht="24" customHeight="1">
      <x:c r="A2" s="6" t="str">
        <x:v>NVIDIA H20 | BF16 input/output | FP32 accumulation | 25% hybrid block sparsity | L2 flush disabled</x:v>
      </x:c>
      <x:c r="B2" s="6"/>
      <x:c r="C2" s="6"/>
      <x:c r="D2" s="6"/>
    </x:row>
    <x:row r="4" ht="32" customHeight="1">
      <x:c r="A4" s="18" t="str">
        <x:v>Shape (M x N x K)</x:v>
      </x:c>
      <x:c r="B4" s="19" t="str">
        <x:v>Total latency (us)</x:v>
      </x:c>
      <x:c r="C4" s="19" t="str">
        <x:v>DeepGEMM latency (us)</x:v>
      </x:c>
      <x:c r="D4" s="20" t="str">
        <x:v>Speedup (DeepGEMM / Total)</x:v>
      </x:c>
    </x:row>
    <x:row r="5" ht="22" customHeight="1">
      <x:c r="A5" s="29" t="str">
        <x:v>128 x 1408 x 2048</x:v>
      </x:c>
      <x:c r="B5" s="35" t="n">
        <x:v>18.27</x:v>
      </x:c>
      <x:c r="C5" s="35" t="n">
        <x:v>10.32</x:v>
      </x:c>
      <x:c r="D5" s="38" t="n">
        <x:f>C5/B5</x:f>
        <x:v>0.5648604269293924</x:v>
      </x:c>
    </x:row>
    <x:row r="6" ht="22" customHeight="1">
      <x:c r="A6" s="30" t="str">
        <x:v>128 x 2048 x 1408</x:v>
      </x:c>
      <x:c r="B6" s="36" t="n">
        <x:v>13.65</x:v>
      </x:c>
      <x:c r="C6" s="36" t="n">
        <x:v>9.26</x:v>
      </x:c>
      <x:c r="D6" s="39" t="n">
        <x:f>C6/B6</x:f>
        <x:v>0.6783882783882783</x:v>
      </x:c>
    </x:row>
    <x:row r="7" ht="22" customHeight="1">
      <x:c r="A7" s="30" t="str">
        <x:v>256 x 1408 x 2048</x:v>
      </x:c>
      <x:c r="B7" s="36" t="n">
        <x:v>25.92</x:v>
      </x:c>
      <x:c r="C7" s="36" t="n">
        <x:v>14.91</x:v>
      </x:c>
      <x:c r="D7" s="39" t="n">
        <x:f>C7/B7</x:f>
        <x:v>0.5752314814814814</x:v>
      </x:c>
    </x:row>
    <x:row r="8" ht="22" customHeight="1">
      <x:c r="A8" s="30" t="str">
        <x:v>256 x 2048 x 1408</x:v>
      </x:c>
      <x:c r="B8" s="36" t="n">
        <x:v>19.03</x:v>
      </x:c>
      <x:c r="C8" s="36" t="n">
        <x:v>14.29</x:v>
      </x:c>
      <x:c r="D8" s="39" t="n">
        <x:f>C8/B8</x:f>
        <x:v>0.7509196006305832</x:v>
      </x:c>
    </x:row>
    <x:row r="9" ht="22" customHeight="1">
      <x:c r="A9" s="30" t="str">
        <x:v>512 x 1408 x 2048</x:v>
      </x:c>
      <x:c r="B9" s="36" t="n">
        <x:v>32.66</x:v>
      </x:c>
      <x:c r="C9" s="36" t="n">
        <x:v>27.35</x:v>
      </x:c>
      <x:c r="D9" s="39" t="n">
        <x:f>C9/B9</x:f>
        <x:v>0.8374157991426823</x:v>
      </x:c>
    </x:row>
    <x:row r="10" ht="22" customHeight="1">
      <x:c r="A10" s="30" t="str">
        <x:v>512 x 2048 x 1408</x:v>
      </x:c>
      <x:c r="B10" s="36" t="n">
        <x:v>39.08</x:v>
      </x:c>
      <x:c r="C10" s="36" t="n">
        <x:v>26.71</x:v>
      </x:c>
      <x:c r="D10" s="39" t="n">
        <x:f>C10/B10</x:f>
        <x:v>0.6834698055271239</x:v>
      </x:c>
    </x:row>
    <x:row r="11" ht="22" customHeight="1">
      <x:c r="A11" s="30" t="str">
        <x:v>1024 x 1408 x 2048</x:v>
      </x:c>
      <x:c r="B11" s="36" t="n">
        <x:v>60.59</x:v>
      </x:c>
      <x:c r="C11" s="36" t="n">
        <x:v>52.78</x:v>
      </x:c>
      <x:c r="D11" s="39" t="n">
        <x:f>C11/B11</x:f>
        <x:v>0.8711008417230566</x:v>
      </x:c>
    </x:row>
    <x:row r="12" ht="22" customHeight="1">
      <x:c r="A12" s="30" t="str">
        <x:v>1024 x 2048 x 1408</x:v>
      </x:c>
      <x:c r="B12" s="36" t="n">
        <x:v>80.61</x:v>
      </x:c>
      <x:c r="C12" s="36" t="n">
        <x:v>51.41</x:v>
      </x:c>
      <x:c r="D12" s="39" t="n">
        <x:f>C12/B12</x:f>
        <x:v>0.6377620642600174</x:v>
      </x:c>
    </x:row>
    <x:row r="13" ht="22" customHeight="1">
      <x:c r="A13" s="30" t="str">
        <x:v>2048 x 1408 x 2048</x:v>
      </x:c>
      <x:c r="B13" s="36" t="n">
        <x:v>122.86</x:v>
      </x:c>
      <x:c r="C13" s="36" t="n">
        <x:v>102.93</x:v>
      </x:c>
      <x:c r="D13" s="39" t="n">
        <x:f>C13/B13</x:f>
        <x:v>0.8377828422594824</x:v>
      </x:c>
    </x:row>
    <x:row r="14" ht="22" customHeight="1">
      <x:c r="A14" s="30" t="str">
        <x:v>2048 x 2048 x 1408</x:v>
      </x:c>
      <x:c r="B14" s="36" t="n">
        <x:v>102.04</x:v>
      </x:c>
      <x:c r="C14" s="36" t="n">
        <x:v>100.49</x:v>
      </x:c>
      <x:c r="D14" s="39" t="n">
        <x:f>C14/B14</x:f>
        <x:v>0.9848098784790277</x:v>
      </x:c>
    </x:row>
    <x:row r="15" ht="22" customHeight="1">
      <x:c r="A15" s="30" t="str">
        <x:v>4096 x 1408 x 2048</x:v>
      </x:c>
      <x:c r="B15" s="36" t="n">
        <x:v>185.84</x:v>
      </x:c>
      <x:c r="C15" s="36" t="n">
        <x:v>198.94</x:v>
      </x:c>
      <x:c r="D15" s="39" t="n">
        <x:f>C15/B15</x:f>
        <x:v>1.0704907447266465</x:v>
      </x:c>
    </x:row>
    <x:row r="16" ht="22" customHeight="1">
      <x:c r="A16" s="31" t="str">
        <x:v>4096 x 2048 x 1408</x:v>
      </x:c>
      <x:c r="B16" s="37" t="n">
        <x:v>191.15</x:v>
      </x:c>
      <x:c r="C16" s="37" t="n">
        <x:v>197.71</x:v>
      </x:c>
      <x:c r="D16" s="40" t="n">
        <x:f>C16/B16</x:f>
        <x:v>1.0343185979597176</x:v>
      </x:c>
    </x:row>
    <x:row r="18" ht="24" customHeight="1">
      <x:c r="A18" s="46" t="str">
        <x:v>Speedup &gt; 1.0x means the fused hybrid sparse kernel is faster than DeepGEMM.</x:v>
      </x:c>
      <x:c r="B18" s="47"/>
      <x:c r="C18" s="47"/>
      <x:c r="D18" s="48"/>
    </x:row>
  </x:sheetData>
  <x:mergeCells>
    <x:mergeCell ref="A1:D1"/>
    <x:mergeCell ref="A2:D2"/>
    <x:mergeCell ref="A18:D18"/>
  </x:mergeCells>
  <x:conditionalFormatting sqref="D5:D16">
    <x:cfRule type="colorScale" priority="1">
      <x:colorScale>
        <x:cfvo type="min"/>
        <x:cfvo type="num" val="1"/>
        <x:cfvo type="max"/>
        <x:color rgb="FFFECACA"/>
        <x:color rgb="FFFEF3C7"/>
        <x:color rgb="FFBBF7D0"/>
      </x:colorScale>
    </x:cfRule>
    <x:cfRule type="cellIs" dxfId="0" priority="2" operator="greaterThanOrEqual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14" hidden="0" customWidth="1"/>
    <x:col min="4" max="4" width="12" hidden="0" customWidth="1"/>
    <x:col min="5" max="5" width="18" hidden="0" customWidth="1"/>
    <x:col min="6" max="6" width="18" hidden="0" customWidth="1"/>
    <x:col min="7" max="7" width="19" hidden="0" customWidth="1"/>
    <x:col min="8" max="8" width="19" hidden="0" customWidth="1"/>
    <x:col min="9" max="9" width="16" hidden="0" customWidth="1"/>
    <x:col min="10" max="10" width="22" hidden="0" customWidth="1"/>
  </x:cols>
  <x:sheetData>
    <x:row r="1" ht="34" customHeight="1">
      <x:c r="A1" s="3" t="str">
        <x:v>Qwen1.5-MoE Sparse Accuracy Comparison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Qwen/Qwen1.5-MoE-A2.7B | Wanda | 128 WikiText2 calibration samples | routed experts only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6" customHeight="1">
      <x:c r="A4" s="18" t="str">
        <x:v>Configuration</x:v>
      </x:c>
      <x:c r="B4" s="19" t="str">
        <x:v>Sparse pattern</x:v>
      </x:c>
      <x:c r="C4" s="19" t="str">
        <x:v>Block shape</x:v>
      </x:c>
      <x:c r="D4" s="19" t="str">
        <x:v>Sparsity</x:v>
      </x:c>
      <x:c r="E4" s="19" t="str">
        <x:v>WikiText2 PPL</x:v>
      </x:c>
      <x:c r="F4" s="19" t="str">
        <x:v>PPL delta vs Dense</x:v>
      </x:c>
      <x:c r="G4" s="19" t="str">
        <x:v>Commonsense avg</x:v>
      </x:c>
      <x:c r="H4" s="19" t="str">
        <x:v>Commonsense delta</x:v>
      </x:c>
      <x:c r="I4" s="19" t="str">
        <x:v>MMLU 5-shot</x:v>
      </x:c>
      <x:c r="J4" s="20" t="str">
        <x:v>GSM8K 5-shot flexible</x:v>
      </x:c>
    </x:row>
    <x:row r="5" ht="24" customHeight="1">
      <x:c r="A5" s="66" t="str">
        <x:v>Dense</x:v>
      </x:c>
      <x:c r="B5" s="66" t="str">
        <x:v>Dense</x:v>
      </x:c>
      <x:c r="C5" s="66" t="str">
        <x:v>-</x:v>
      </x:c>
      <x:c r="D5" s="67" t="n">
        <x:v>0</x:v>
      </x:c>
      <x:c r="E5" s="68" t="n">
        <x:v>7.2173</x:v>
      </x:c>
      <x:c r="F5" s="68" t="n">
        <x:f>E5-$E$5</x:f>
        <x:v>0</x:v>
      </x:c>
      <x:c r="G5" s="69" t="n">
        <x:v>0.6639</x:v>
      </x:c>
      <x:c r="H5" s="70" t="n">
        <x:f>(G5-$G$5)*100</x:f>
        <x:v>0</x:v>
      </x:c>
      <x:c r="I5" s="69" t="n">
        <x:v>0.6124</x:v>
      </x:c>
      <x:c r="J5" s="69" t="n">
        <x:v>0.6065</x:v>
      </x:c>
    </x:row>
    <x:row r="6" ht="24" customHeight="1">
      <x:c r="A6" s="30" t="str">
        <x:v>SlideSparse 6:8</x:v>
      </x:c>
      <x:c r="B6" s="30" t="str">
        <x:v>6:8 element sparse</x:v>
      </x:c>
      <x:c r="C6" s="30" t="str">
        <x:v>Vector</x:v>
      </x:c>
      <x:c r="D6" s="50" t="n">
        <x:v>0.25</x:v>
      </x:c>
      <x:c r="E6" s="53" t="n">
        <x:v>7.3003</x:v>
      </x:c>
      <x:c r="F6" s="53" t="n">
        <x:f>E6-$E$5</x:f>
        <x:v>0.08300000000000018</x:v>
      </x:c>
      <x:c r="G6" s="56" t="n">
        <x:v>0.659506</x:v>
      </x:c>
      <x:c r="H6" s="59" t="n">
        <x:f>(G6-$G$5)*100</x:f>
        <x:v>-0.4394000000000009</x:v>
      </x:c>
      <x:c r="I6" s="56" t="n">
        <x:v>0.6087</x:v>
      </x:c>
      <x:c r="J6" s="56" t="n">
        <x:v>0.6035</x:v>
      </x:c>
    </x:row>
    <x:row r="7" ht="24" customHeight="1">
      <x:c r="A7" s="30" t="str">
        <x:v>Hybrid Block Sparse 1x4</x:v>
      </x:c>
      <x:c r="B7" s="30" t="str">
        <x:v>1-of-2 blocks use 2:4</x:v>
      </x:c>
      <x:c r="C7" s="30" t="str">
        <x:v>1 x 4</x:v>
      </x:c>
      <x:c r="D7" s="50" t="n">
        <x:v>0.25</x:v>
      </x:c>
      <x:c r="E7" s="53" t="n">
        <x:v>7.3666</x:v>
      </x:c>
      <x:c r="F7" s="53" t="n">
        <x:f>E7-$E$5</x:f>
        <x:v>0.1493000000000002</x:v>
      </x:c>
      <x:c r="G7" s="56" t="n">
        <x:v>0.660879</x:v>
      </x:c>
      <x:c r="H7" s="59" t="n">
        <x:f>(G7-$G$5)*100</x:f>
        <x:v>-0.30210000000000514</x:v>
      </x:c>
      <x:c r="I7" s="56"/>
      <x:c r="J7" s="56"/>
    </x:row>
    <x:row r="8" ht="24" customHeight="1">
      <x:c r="A8" s="30" t="str">
        <x:v>Hybrid Block Sparse 4x4</x:v>
      </x:c>
      <x:c r="B8" s="30" t="str">
        <x:v>1-of-2 blocks use 2:4</x:v>
      </x:c>
      <x:c r="C8" s="30" t="str">
        <x:v>4 x 4</x:v>
      </x:c>
      <x:c r="D8" s="50" t="n">
        <x:v>0.25</x:v>
      </x:c>
      <x:c r="E8" s="53" t="n">
        <x:v>7.4606</x:v>
      </x:c>
      <x:c r="F8" s="53" t="n">
        <x:f>E8-$E$5</x:f>
        <x:v>0.24330000000000052</x:v>
      </x:c>
      <x:c r="G8" s="56" t="n">
        <x:v>0.659993</x:v>
      </x:c>
      <x:c r="H8" s="59" t="n">
        <x:f>(G8-$G$5)*100</x:f>
        <x:v>-0.3906999999999994</x:v>
      </x:c>
      <x:c r="I8" s="56"/>
      <x:c r="J8" s="56"/>
    </x:row>
    <x:row r="9" ht="24" customHeight="1">
      <x:c r="A9" s="30" t="str">
        <x:v>Hybrid Block Sparse 16x16</x:v>
      </x:c>
      <x:c r="B9" s="30" t="str">
        <x:v>1-of-2 blocks use 2:4</x:v>
      </x:c>
      <x:c r="C9" s="30" t="str">
        <x:v>16 x 16</x:v>
      </x:c>
      <x:c r="D9" s="50" t="n">
        <x:v>0.25</x:v>
      </x:c>
      <x:c r="E9" s="53" t="n">
        <x:v>7.5743</x:v>
      </x:c>
      <x:c r="F9" s="53" t="n">
        <x:f>E9-$E$5</x:f>
        <x:v>0.3570000000000002</x:v>
      </x:c>
      <x:c r="G9" s="56" t="n">
        <x:v>0.659448</x:v>
      </x:c>
      <x:c r="H9" s="59" t="n">
        <x:f>(G9-$G$5)*100</x:f>
        <x:v>-0.44520000000000115</x:v>
      </x:c>
      <x:c r="I9" s="56"/>
      <x:c r="J9" s="56"/>
    </x:row>
    <x:row r="10" ht="24" customHeight="1">
      <x:c r="A10" s="30" t="str">
        <x:v>Hybrid Block Sparse 64x64</x:v>
      </x:c>
      <x:c r="B10" s="30" t="str">
        <x:v>1-of-2 blocks use 2:4</x:v>
      </x:c>
      <x:c r="C10" s="30" t="str">
        <x:v>64 x 64</x:v>
      </x:c>
      <x:c r="D10" s="50" t="n">
        <x:v>0.25</x:v>
      </x:c>
      <x:c r="E10" s="53" t="n">
        <x:v>7.6273</x:v>
      </x:c>
      <x:c r="F10" s="53" t="n">
        <x:f>E10-$E$5</x:f>
        <x:v>0.41000000000000014</x:v>
      </x:c>
      <x:c r="G10" s="56" t="n">
        <x:v>0.6569</x:v>
      </x:c>
      <x:c r="H10" s="59" t="n">
        <x:f>(G10-$G$5)*100</x:f>
        <x:v>-0.7000000000000006</x:v>
      </x:c>
      <x:c r="I10" s="56"/>
      <x:c r="J10" s="56"/>
    </x:row>
    <x:row r="11" ht="24" customHeight="1">
      <x:c r="A11" s="30" t="str">
        <x:v>HB-N:M 50%</x:v>
      </x:c>
      <x:c r="B11" s="30" t="str">
        <x:v>All blocks use 2:4</x:v>
      </x:c>
      <x:c r="C11" s="30" t="str">
        <x:v>16 x 16</x:v>
      </x:c>
      <x:c r="D11" s="50" t="n">
        <x:v>0.5</x:v>
      </x:c>
      <x:c r="E11" s="53" t="n">
        <x:v>8.54</x:v>
      </x:c>
      <x:c r="F11" s="53" t="n">
        <x:f>E11-$E$5</x:f>
        <x:v>1.3226999999999993</x:v>
      </x:c>
      <x:c r="G11" s="56" t="n">
        <x:v>0.6394</x:v>
      </x:c>
      <x:c r="H11" s="59" t="n">
        <x:f>(G11-$G$5)*100</x:f>
        <x:v>-2.4500000000000077</x:v>
      </x:c>
      <x:c r="I11" s="56" t="n">
        <x:v>0.5583</x:v>
      </x:c>
      <x:c r="J11" s="56" t="n">
        <x:v>0.4049</x:v>
      </x:c>
    </x:row>
    <x:row r="12" ht="24" customHeight="1">
      <x:c r="A12" s="31" t="str">
        <x:v>HB-N:M 75%</x:v>
      </x:c>
      <x:c r="B12" s="31" t="str">
        <x:v>1-of-2 blocks kept + 2:4</x:v>
      </x:c>
      <x:c r="C12" s="31" t="str">
        <x:v>16 x 16</x:v>
      </x:c>
      <x:c r="D12" s="51" t="n">
        <x:v>0.75</x:v>
      </x:c>
      <x:c r="E12" s="54" t="n">
        <x:v>218.85</x:v>
      </x:c>
      <x:c r="F12" s="54" t="n">
        <x:f>E12-$E$5</x:f>
        <x:v>211.6327</x:v>
      </x:c>
      <x:c r="G12" s="57" t="n">
        <x:v>0.3984</x:v>
      </x:c>
      <x:c r="H12" s="60" t="n">
        <x:f>(G12-$G$5)*100</x:f>
        <x:v>-26.550000000000008</x:v>
      </x:c>
      <x:c r="I12" s="57" t="n">
        <x:v>0.2522</x:v>
      </x:c>
      <x:c r="J12" s="57" t="n">
        <x:v>0.0114</x:v>
      </x:c>
    </x:row>
    <x:row r="14">
      <x:c r="A14" s="83" t="str">
        <x:v>Sources: qwen1_5_moe_structured_sparsity_accuracy.md and qwen1_5_moe_hybrid_block_sparse_results.md. Blank cells indicate metrics that were not evaluated. Lower PPL and higher accuracy are better.</x:v>
      </x:c>
      <x:c r="B14" s="84"/>
      <x:c r="C14" s="84"/>
      <x:c r="D14" s="84"/>
      <x:c r="E14" s="84"/>
      <x:c r="F14" s="84"/>
      <x:c r="G14" s="84"/>
      <x:c r="H14" s="84"/>
      <x:c r="I14" s="84"/>
      <x:c r="J14" s="85"/>
    </x:row>
    <x:row r="15">
      <x:c r="A15" s="86"/>
      <x:c r="B15" s="87"/>
      <x:c r="C15" s="87"/>
      <x:c r="D15" s="87"/>
      <x:c r="E15" s="87"/>
      <x:c r="F15" s="87"/>
      <x:c r="G15" s="87"/>
      <x:c r="H15" s="87"/>
      <x:c r="I15" s="87"/>
      <x:c r="J15" s="88"/>
    </x:row>
  </x:sheetData>
  <x:mergeCells>
    <x:mergeCell ref="A1:J1"/>
    <x:mergeCell ref="A2:J2"/>
    <x:mergeCell ref="A14:J15"/>
  </x:mergeCells>
  <x:conditionalFormatting sqref="E5:E12">
    <x:cfRule type="colorScale" priority="1">
      <x:colorScale>
        <x:cfvo type="min"/>
        <x:cfvo type="num" val="9"/>
        <x:cfvo type="max"/>
        <x:color rgb="FFBBF7D0"/>
        <x:color rgb="FFFEF3C7"/>
        <x:color rgb="FFFECACA"/>
      </x:colorScale>
    </x:cfRule>
  </x:conditionalFormatting>
  <x:conditionalFormatting sqref="F6:F12">
    <x:cfRule type="colorScale" priority="2">
      <x:colorScale>
        <x:cfvo type="min"/>
        <x:cfvo type="num" val="0.5"/>
        <x:cfvo type="max"/>
        <x:color rgb="FFFEF3C7"/>
        <x:color rgb="FFFED7AA"/>
        <x:color rgb="FFFECACA"/>
      </x:colorScale>
    </x:cfRule>
  </x:conditionalFormatting>
  <x:conditionalFormatting sqref="G5:G12">
    <x:cfRule type="colorScale" priority="3">
      <x:colorScale>
        <x:cfvo type="min"/>
        <x:cfvo type="num" val="0.64"/>
        <x:cfvo type="max"/>
        <x:color rgb="FFFECACA"/>
        <x:color rgb="FFFEF3C7"/>
        <x:color rgb="FFBBF7D0"/>
      </x:colorScale>
    </x:cfRule>
  </x:conditionalFormatting>
  <x:conditionalFormatting sqref="H6:H12">
    <x:cfRule type="colorScale" priority="4">
      <x:colorScale>
        <x:cfvo type="min"/>
        <x:cfvo type="num" val="-1"/>
        <x:cfvo type="max"/>
        <x:color rgb="FFFECACA"/>
        <x:color rgb="FFFEF3C7"/>
        <x:color rgb="FFBBF7D0"/>
      </x:colorScale>
    </x:cfRule>
  </x:conditionalFormatting>
  <x:conditionalFormatting sqref="I5:J12">
    <x:cfRule type="colorScale" priority="5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3" hidden="0" customWidth="1"/>
    <x:col min="7" max="7" width="23" hidden="0" customWidth="1"/>
  </x:cols>
  <x:sheetData>
    <x:row r="1" ht="38" customHeight="1">
      <x:c r="A1" s="91" t="str">
        <x:v>Persistent Scheduler + Lane-Ready Metadata</x:v>
      </x:c>
      <x:c r="B1" s="91"/>
      <x:c r="C1" s="91"/>
      <x:c r="D1" s="91"/>
      <x:c r="E1" s="91"/>
      <x:c r="F1" s="91"/>
      <x:c r="G1" s="91"/>
    </x:row>
    <x:row r="2" ht="25" customHeight="1">
      <x:c r="A2" s="94" t="str">
        <x:v>NVIDIA H20 | BF16 input/output | FP32 accumulation | 64 x 64 weight blocks | 1-of-2 blocks use 2:4 | L2 flush disabled</x:v>
      </x:c>
      <x:c r="B2" s="94"/>
      <x:c r="C2" s="94"/>
      <x:c r="D2" s="94"/>
      <x:c r="E2" s="94"/>
      <x:c r="F2" s="94"/>
      <x:c r="G2" s="94"/>
    </x:row>
    <x:row r="4" ht="38" customHeight="1">
      <x:c r="A4" s="99" t="str">
        <x:v>Shape (M x N x K)</x:v>
      </x:c>
      <x:c r="B4" s="99" t="str">
        <x:v>Fused STSM (us)</x:v>
      </x:c>
      <x:c r="C4" s="99" t="str">
        <x:v>Persistent 3 CTA/SM (us)</x:v>
      </x:c>
      <x:c r="D4" s="99" t="str">
        <x:v>Lane-ready (us)</x:v>
      </x:c>
      <x:c r="E4" s="99" t="str">
        <x:v>DeepGEMM (us)</x:v>
      </x:c>
      <x:c r="F4" s="99" t="str">
        <x:v>Speedup vs STSM</x:v>
      </x:c>
      <x:c r="G4" s="99" t="str">
        <x:v>Speedup over DeepGEMM</x:v>
      </x:c>
    </x:row>
    <x:row r="5">
      <x:c r="A5" s="101" t="str">
        <x:v>128 x 1408 x 2048</x:v>
      </x:c>
      <x:c r="B5" s="103" t="n">
        <x:v>18.62</x:v>
      </x:c>
      <x:c r="C5" s="103" t="n">
        <x:v>17.28</x:v>
      </x:c>
      <x:c r="D5" s="103" t="n">
        <x:v>14.69</x:v>
      </x:c>
      <x:c r="E5" s="103" t="n">
        <x:v>9.9</x:v>
      </x:c>
      <x:c r="F5" s="104" t="n">
        <x:f>B5/D5</x:f>
        <x:v>1.2675289312457456</x:v>
      </x:c>
      <x:c r="G5" s="104" t="n">
        <x:f>E5/D5</x:f>
        <x:v>0.673927842069435</x:v>
      </x:c>
    </x:row>
    <x:row r="6">
      <x:c r="A6" s="101" t="str">
        <x:v>128 x 2048 x 1408</x:v>
      </x:c>
      <x:c r="B6" s="103" t="n">
        <x:v>12.83</x:v>
      </x:c>
      <x:c r="C6" s="103" t="n">
        <x:v>12.28</x:v>
      </x:c>
      <x:c r="D6" s="103" t="n">
        <x:v>10.88</x:v>
      </x:c>
      <x:c r="E6" s="103" t="n">
        <x:v>8.61</x:v>
      </x:c>
      <x:c r="F6" s="104" t="n">
        <x:f>B6/D6</x:f>
        <x:v>1.1792279411764706</x:v>
      </x:c>
      <x:c r="G6" s="104" t="n">
        <x:f>E6/D6</x:f>
        <x:v>0.791360294117647</x:v>
      </x:c>
    </x:row>
    <x:row r="7">
      <x:c r="A7" s="101" t="str">
        <x:v>256 x 1408 x 2048</x:v>
      </x:c>
      <x:c r="B7" s="103" t="n">
        <x:v>24.26</x:v>
      </x:c>
      <x:c r="C7" s="103" t="n">
        <x:v>23.7</x:v>
      </x:c>
      <x:c r="D7" s="103" t="n">
        <x:v>22.07</x:v>
      </x:c>
      <x:c r="E7" s="103" t="n">
        <x:v>13.89</x:v>
      </x:c>
      <x:c r="F7" s="104" t="n">
        <x:f>B7/D7</x:f>
        <x:v>1.099229723606706</x:v>
      </x:c>
      <x:c r="G7" s="104" t="n">
        <x:f>E7/D7</x:f>
        <x:v>0.6293611236973267</x:v>
      </x:c>
    </x:row>
    <x:row r="8">
      <x:c r="A8" s="101" t="str">
        <x:v>256 x 2048 x 1408</x:v>
      </x:c>
      <x:c r="B8" s="103" t="n">
        <x:v>17.92</x:v>
      </x:c>
      <x:c r="C8" s="103" t="n">
        <x:v>17.57</x:v>
      </x:c>
      <x:c r="D8" s="103" t="n">
        <x:v>16.57</x:v>
      </x:c>
      <x:c r="E8" s="103" t="n">
        <x:v>13.36</x:v>
      </x:c>
      <x:c r="F8" s="104" t="n">
        <x:f>B8/D8</x:f>
        <x:v>1.0814725407362704</x:v>
      </x:c>
      <x:c r="G8" s="104" t="n">
        <x:f>E8/D8</x:f>
        <x:v>0.8062764031382015</x:v>
      </x:c>
    </x:row>
    <x:row r="9">
      <x:c r="A9" s="101" t="str">
        <x:v>512 x 1408 x 2048</x:v>
      </x:c>
      <x:c r="B9" s="103" t="n">
        <x:v>32.54</x:v>
      </x:c>
      <x:c r="C9" s="103" t="n">
        <x:v>97.46</x:v>
      </x:c>
      <x:c r="D9" s="103" t="n">
        <x:v>30.75</x:v>
      </x:c>
      <x:c r="E9" s="103" t="n">
        <x:v>26.45</x:v>
      </x:c>
      <x:c r="F9" s="104" t="n">
        <x:f>B9/D9</x:f>
        <x:v>1.058211382113821</x:v>
      </x:c>
      <x:c r="G9" s="104" t="n">
        <x:f>E9/D9</x:f>
        <x:v>0.8601626016260162</x:v>
      </x:c>
    </x:row>
    <x:row r="10">
      <x:c r="A10" s="101" t="str">
        <x:v>512 x 2048 x 1408</x:v>
      </x:c>
      <x:c r="B10" s="103" t="n">
        <x:v>90.97</x:v>
      </x:c>
      <x:c r="C10" s="103" t="n">
        <x:v>37.07</x:v>
      </x:c>
      <x:c r="D10" s="103" t="n">
        <x:v>34.13</x:v>
      </x:c>
      <x:c r="E10" s="103" t="n">
        <x:v>26.57</x:v>
      </x:c>
      <x:c r="F10" s="104" t="n">
        <x:f>B10/D10</x:f>
        <x:v>2.665397011426897</x:v>
      </x:c>
      <x:c r="G10" s="104" t="n">
        <x:f>E10/D10</x:f>
        <x:v>0.778493993554058</x:v>
      </x:c>
    </x:row>
    <x:row r="11">
      <x:c r="A11" s="101" t="str">
        <x:v>1024 x 1408 x 2048</x:v>
      </x:c>
      <x:c r="B11" s="103" t="n">
        <x:v>104.84</x:v>
      </x:c>
      <x:c r="C11" s="103" t="n">
        <x:v>116.67</x:v>
      </x:c>
      <x:c r="D11" s="103" t="n">
        <x:v>97.8</x:v>
      </x:c>
      <x:c r="E11" s="103" t="n">
        <x:v>98.57</x:v>
      </x:c>
      <x:c r="F11" s="104" t="n">
        <x:f>B11/D11</x:f>
        <x:v>1.0719836400817997</x:v>
      </x:c>
      <x:c r="G11" s="104" t="n">
        <x:f>E11/D11</x:f>
        <x:v>1.0078732106339467</x:v>
      </x:c>
    </x:row>
    <x:row r="12">
      <x:c r="A12" s="101" t="str">
        <x:v>1024 x 2048 x 1408</x:v>
      </x:c>
      <x:c r="B12" s="103" t="n">
        <x:v>104.48</x:v>
      </x:c>
      <x:c r="C12" s="103" t="n">
        <x:v>112.97</x:v>
      </x:c>
      <x:c r="D12" s="103" t="n">
        <x:v>98.75</x:v>
      </x:c>
      <x:c r="E12" s="103" t="n">
        <x:v>97.22</x:v>
      </x:c>
      <x:c r="F12" s="104" t="n">
        <x:f>B12/D12</x:f>
        <x:v>1.0580253164556963</x:v>
      </x:c>
      <x:c r="G12" s="104" t="n">
        <x:f>E12/D12</x:f>
        <x:v>0.984506329113924</x:v>
      </x:c>
    </x:row>
    <x:row r="13">
      <x:c r="A13" s="101" t="str">
        <x:v>2048 x 1408 x 2048</x:v>
      </x:c>
      <x:c r="B13" s="103" t="n">
        <x:v>193.1</x:v>
      </x:c>
      <x:c r="C13" s="103" t="n">
        <x:v>280.45</x:v>
      </x:c>
      <x:c r="D13" s="103" t="n">
        <x:v>142.21</x:v>
      </x:c>
      <x:c r="E13" s="103" t="n">
        <x:v>194.62</x:v>
      </x:c>
      <x:c r="F13" s="104" t="n">
        <x:f>B13/D13</x:f>
        <x:v>1.3578510653259264</x:v>
      </x:c>
      <x:c r="G13" s="104" t="n">
        <x:f>E13/D13</x:f>
        <x:v>1.3685394838618943</x:v>
      </x:c>
    </x:row>
    <x:row r="14">
      <x:c r="A14" s="101" t="str">
        <x:v>2048 x 2048 x 1408</x:v>
      </x:c>
      <x:c r="B14" s="103" t="n">
        <x:v>95.17</x:v>
      </x:c>
      <x:c r="C14" s="103" t="n">
        <x:v>129.61</x:v>
      </x:c>
      <x:c r="D14" s="103" t="n">
        <x:v>91.3</x:v>
      </x:c>
      <x:c r="E14" s="103" t="n">
        <x:v>93.03</x:v>
      </x:c>
      <x:c r="F14" s="104" t="n">
        <x:f>B14/D14</x:f>
        <x:v>1.0423877327491786</x:v>
      </x:c>
      <x:c r="G14" s="104" t="n">
        <x:f>E14/D14</x:f>
        <x:v>1.01894852135816</x:v>
      </x:c>
    </x:row>
    <x:row r="15">
      <x:c r="A15" s="101" t="str">
        <x:v>4096 x 1408 x 2048</x:v>
      </x:c>
      <x:c r="B15" s="103" t="n">
        <x:v>172.46</x:v>
      </x:c>
      <x:c r="C15" s="103" t="n">
        <x:v>265.21</x:v>
      </x:c>
      <x:c r="D15" s="103" t="n">
        <x:v>172.96</x:v>
      </x:c>
      <x:c r="E15" s="103" t="n">
        <x:v>184.29</x:v>
      </x:c>
      <x:c r="F15" s="104" t="n">
        <x:f>B15/D15</x:f>
        <x:v>0.997109158186864</x:v>
      </x:c>
      <x:c r="G15" s="104" t="n">
        <x:f>E15/D15</x:f>
        <x:v>1.0655064754856614</x:v>
      </x:c>
    </x:row>
    <x:row r="16">
      <x:c r="A16" s="101" t="str">
        <x:v>4096 x 2048 x 1408</x:v>
      </x:c>
      <x:c r="B16" s="103" t="n">
        <x:v>174.23</x:v>
      </x:c>
      <x:c r="C16" s="103" t="n">
        <x:v>269.04</x:v>
      </x:c>
      <x:c r="D16" s="103" t="n">
        <x:v>167.28</x:v>
      </x:c>
      <x:c r="E16" s="103" t="n">
        <x:v>182.11</x:v>
      </x:c>
      <x:c r="F16" s="104" t="n">
        <x:f>B16/D16</x:f>
        <x:v>1.041547106647537</x:v>
      </x:c>
      <x:c r="G16" s="104" t="n">
        <x:f>E16/D16</x:f>
        <x:v>1.0886537541846006</x:v>
      </x:c>
    </x:row>
    <x:row r="17">
      <x:c r="A17" s="101" t="str">
        <x:v>512 x 4096 x 4096</x:v>
      </x:c>
      <x:c r="B17" s="103" t="n">
        <x:v>150.21</x:v>
      </x:c>
      <x:c r="C17" s="103" t="n">
        <x:v>174.89</x:v>
      </x:c>
      <x:c r="D17" s="103" t="n">
        <x:v>133.34</x:v>
      </x:c>
      <x:c r="E17" s="103" t="n">
        <x:v>131.48</x:v>
      </x:c>
      <x:c r="F17" s="104" t="n">
        <x:f>B17/D17</x:f>
        <x:v>1.1265186740662967</x:v>
      </x:c>
      <x:c r="G17" s="104" t="n">
        <x:f>E17/D17</x:f>
        <x:v>0.9860506974651266</x:v>
      </x:c>
    </x:row>
    <x:row r="21">
      <x:c r="A21" s="105" t="str">
        <x:v>NCU comparison at 512 x 4096 x 4096</x:v>
      </x:c>
      <x:c r="B21" s="105"/>
      <x:c r="C21" s="105"/>
      <x:c r="D21" s="105"/>
    </x:row>
    <x:row r="22">
      <x:c r="A22" s="106" t="str">
        <x:v>Metric</x:v>
      </x:c>
      <x:c r="B22" s="106" t="str">
        <x:v>Persistent 3 CTA/SM</x:v>
      </x:c>
      <x:c r="C22" s="106" t="str">
        <x:v>Lane-ready</x:v>
      </x:c>
      <x:c r="D22" s="106" t="str">
        <x:v>Change</x:v>
      </x:c>
    </x:row>
    <x:row r="23">
      <x:c r="A23" s="100" t="str">
        <x:v>NCU duration (us)</x:v>
      </x:c>
      <x:c r="B23" s="107" t="n">
        <x:v>192.448</x:v>
      </x:c>
      <x:c r="C23" s="107" t="n">
        <x:v>161.632</x:v>
      </x:c>
      <x:c r="D23" s="108" t="n">
        <x:f>C23/B23-1</x:f>
        <x:v>-0.16012637179913536</x:v>
      </x:c>
    </x:row>
    <x:row r="24">
      <x:c r="A24" s="100" t="str">
        <x:v>Registers / thread</x:v>
      </x:c>
      <x:c r="B24" s="107" t="n">
        <x:v>92</x:v>
      </x:c>
      <x:c r="C24" s="107" t="n">
        <x:v>60</x:v>
      </x:c>
      <x:c r="D24" s="108" t="n">
        <x:f>C24/B24-1</x:f>
        <x:v>-0.34782608695652173</x:v>
      </x:c>
    </x:row>
    <x:row r="25">
      <x:c r="A25" s="100" t="str">
        <x:v>Dynamic shared memory (KB / CTA)</x:v>
      </x:c>
      <x:c r="B25" s="107" t="n">
        <x:v>74.752</x:v>
      </x:c>
      <x:c r="C25" s="107" t="n">
        <x:v>58.368</x:v>
      </x:c>
      <x:c r="D25" s="108" t="n">
        <x:f>C25/B25-1</x:f>
        <x:v>-0.2191780821917807</x:v>
      </x:c>
    </x:row>
    <x:row r="26">
      <x:c r="A26" s="100" t="str">
        <x:v>Active warps (% peak)</x:v>
      </x:c>
      <x:c r="B26" s="107" t="n">
        <x:v>22.923226</x:v>
      </x:c>
      <x:c r="C26" s="107" t="n">
        <x:v>34.313097</x:v>
      </x:c>
      <x:c r="D26" s="108" t="n">
        <x:f>C26/B26-1</x:f>
        <x:v>0.4968703357895612</x:v>
      </x:c>
    </x:row>
    <x:row r="27">
      <x:c r="A27" s="100" t="str">
        <x:v>Tensor pipe active (% peak)</x:v>
      </x:c>
      <x:c r="B27" s="107" t="n">
        <x:v>14.900994</x:v>
      </x:c>
      <x:c r="C27" s="107" t="n">
        <x:v>18.759332</x:v>
      </x:c>
      <x:c r="D27" s="108" t="n">
        <x:f>C27/B27-1</x:f>
        <x:v>0.25893158536940564</x:v>
      </x:c>
    </x:row>
    <x:row r="28">
      <x:c r="A28" s="100" t="str">
        <x:v>Warp instructions</x:v>
      </x:c>
      <x:c r="B28" s="107" t="n">
        <x:v>21270725</x:v>
      </x:c>
      <x:c r="C28" s="107" t="n">
        <x:v>14163518</x:v>
      </x:c>
      <x:c r="D28" s="108" t="n">
        <x:f>C28/B28-1</x:f>
        <x:v>-0.3341309240752255</x:v>
      </x:c>
    </x:row>
    <x:row r="30" ht="38" customHeight="1">
      <x:c r="A30" s="111" t="str">
        <x:v>Benchmark note: all eight GPUs reported 96-100% utilization during the standard sweep, so isolated target-shape measurements and NCU deltas are more reliable than individual sweep outliers.</x:v>
      </x:c>
      <x:c r="B30" s="111"/>
      <x:c r="C30" s="111"/>
      <x:c r="D30" s="111"/>
      <x:c r="E30" s="111"/>
      <x:c r="F30" s="111"/>
      <x:c r="G30" s="111"/>
    </x:row>
  </x:sheetData>
  <x:mergeCells>
    <x:mergeCell ref="A1:G1"/>
    <x:mergeCell ref="A2:G2"/>
    <x:mergeCell ref="A21:D21"/>
    <x:mergeCell ref="A30:G30"/>
  </x:mergeCells>
  <x:conditionalFormatting sqref="G5:G17">
    <x:cfRule type="colorScale" priority="1">
      <x:colorScale>
        <x:cfvo type="min"/>
        <x:cfvo type="percentile" val="50"/>
        <x:cfvo type="max"/>
        <x:color rgb="FFF9B9BC"/>
        <x:color rgb="FFFFF0BF"/>
        <x:color rgb="FFB8EDC9"/>
      </x:colorScale>
    </x:cfRule>
  </x:conditionalFormatting>
  <x:conditionalFormatting sqref="F5:F17">
    <x:cfRule type="colorScale" priority="2">
      <x:colorScale>
        <x:cfvo type="min"/>
        <x:cfvo type="percentile" val="50"/>
        <x:cfvo type="max"/>
        <x:color rgb="FFF9B9BC"/>
        <x:color rgb="FFFFF0BF"/>
        <x:color rgb="FFB8EDC9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21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8" customHeight="1">
      <x:c r="A1" s="114" t="str">
        <x:v>cuBLAS Tensor Core Baseline</x:v>
      </x:c>
      <x:c r="B1" s="114"/>
      <x:c r="C1" s="114"/>
      <x:c r="D1" s="114"/>
      <x:c r="E1" s="114"/>
      <x:c r="F1" s="114"/>
      <x:c r="G1" s="114"/>
    </x:row>
    <x:row r="2" ht="25" customHeight="1">
      <x:c r="A2" s="117" t="str">
        <x:v>NVIDIA H20 | BF16 input/output | FP32 compute and accumulation | cuBLASLt Tensor Core heuristic | L2 flush disabled</x:v>
      </x:c>
      <x:c r="B2" s="117"/>
      <x:c r="C2" s="117"/>
      <x:c r="D2" s="117"/>
      <x:c r="E2" s="117"/>
      <x:c r="F2" s="117"/>
      <x:c r="G2" s="117"/>
    </x:row>
    <x:row r="4" ht="38" customHeight="1">
      <x:c r="A4" s="122" t="str">
        <x:v>Shape (M x N x K)</x:v>
      </x:c>
      <x:c r="B4" s="122" t="str">
        <x:v>Lane-ready sparse (us)</x:v>
      </x:c>
      <x:c r="C4" s="122" t="str">
        <x:v>DeepGEMM (us)</x:v>
      </x:c>
      <x:c r="D4" s="122" t="str">
        <x:v>cuBLASLt (us)</x:v>
      </x:c>
      <x:c r="E4" s="122" t="str">
        <x:v>Speedup over DeepGEMM</x:v>
      </x:c>
      <x:c r="F4" s="122" t="str">
        <x:v>Speedup over cuBLASLt</x:v>
      </x:c>
      <x:c r="G4" s="122" t="str">
        <x:v>cuBLASLt vs DeepGEMM</x:v>
      </x:c>
    </x:row>
    <x:row r="5">
      <x:c r="A5" s="101" t="str">
        <x:v>128 x 1408 x 2048</x:v>
      </x:c>
      <x:c r="B5" s="103" t="n">
        <x:v>15.43</x:v>
      </x:c>
      <x:c r="C5" s="103" t="n">
        <x:v>10.1</x:v>
      </x:c>
      <x:c r="D5" s="103" t="n">
        <x:v>8.41</x:v>
      </x:c>
      <x:c r="E5" s="104" t="n">
        <x:f>C5/B5</x:f>
        <x:v>0.6545690213869086</x:v>
      </x:c>
      <x:c r="F5" s="104" t="n">
        <x:f>D5/B5</x:f>
        <x:v>0.5450421257290992</x:v>
      </x:c>
      <x:c r="G5" s="104" t="n">
        <x:f>C5/D5</x:f>
        <x:v>1.2009512485136742</x:v>
      </x:c>
    </x:row>
    <x:row r="6">
      <x:c r="A6" s="101" t="str">
        <x:v>128 x 2048 x 1408</x:v>
      </x:c>
      <x:c r="B6" s="103" t="n">
        <x:v>11.52</x:v>
      </x:c>
      <x:c r="C6" s="103" t="n">
        <x:v>9.09</x:v>
      </x:c>
      <x:c r="D6" s="103" t="n">
        <x:v>8.22</x:v>
      </x:c>
      <x:c r="E6" s="104" t="n">
        <x:f>C6/B6</x:f>
        <x:v>0.7890625</x:v>
      </x:c>
      <x:c r="F6" s="104" t="n">
        <x:f>D6/B6</x:f>
        <x:v>0.7135416666666667</x:v>
      </x:c>
      <x:c r="G6" s="104" t="n">
        <x:f>C6/D6</x:f>
        <x:v>1.105839416058394</x:v>
      </x:c>
    </x:row>
    <x:row r="7">
      <x:c r="A7" s="101" t="str">
        <x:v>256 x 1408 x 2048</x:v>
      </x:c>
      <x:c r="B7" s="103" t="n">
        <x:v>22.92</x:v>
      </x:c>
      <x:c r="C7" s="103" t="n">
        <x:v>14.08</x:v>
      </x:c>
      <x:c r="D7" s="103" t="n">
        <x:v>13.92</x:v>
      </x:c>
      <x:c r="E7" s="104" t="n">
        <x:f>C7/B7</x:f>
        <x:v>0.6143106457242582</x:v>
      </x:c>
      <x:c r="F7" s="104" t="n">
        <x:f>D7/B7</x:f>
        <x:v>0.6073298429319371</x:v>
      </x:c>
      <x:c r="G7" s="104" t="n">
        <x:f>C7/D7</x:f>
        <x:v>1.0114942528735633</x:v>
      </x:c>
    </x:row>
    <x:row r="8">
      <x:c r="A8" s="101" t="str">
        <x:v>256 x 2048 x 1408</x:v>
      </x:c>
      <x:c r="B8" s="103" t="n">
        <x:v>16.93</x:v>
      </x:c>
      <x:c r="C8" s="103" t="n">
        <x:v>13.73</x:v>
      </x:c>
      <x:c r="D8" s="103" t="n">
        <x:v>13.89</x:v>
      </x:c>
      <x:c r="E8" s="104" t="n">
        <x:f>C8/B8</x:f>
        <x:v>0.8109864146485529</x:v>
      </x:c>
      <x:c r="F8" s="104" t="n">
        <x:f>D8/B8</x:f>
        <x:v>0.8204370939161253</x:v>
      </x:c>
      <x:c r="G8" s="104" t="n">
        <x:f>C8/D8</x:f>
        <x:v>0.9884809215262779</x:v>
      </x:c>
    </x:row>
    <x:row r="9">
      <x:c r="A9" s="101" t="str">
        <x:v>512 x 1408 x 2048</x:v>
      </x:c>
      <x:c r="B9" s="103" t="n">
        <x:v>32.29</x:v>
      </x:c>
      <x:c r="C9" s="103" t="n">
        <x:v>30.15</x:v>
      </x:c>
      <x:c r="D9" s="103" t="n">
        <x:v>30.16</x:v>
      </x:c>
      <x:c r="E9" s="104" t="n">
        <x:f>C9/B9</x:f>
        <x:v>0.933725611644472</x:v>
      </x:c>
      <x:c r="F9" s="104" t="n">
        <x:f>D9/B9</x:f>
        <x:v>0.9340353050480025</x:v>
      </x:c>
      <x:c r="G9" s="104" t="n">
        <x:f>C9/D9</x:f>
        <x:v>0.9996684350132625</x:v>
      </x:c>
    </x:row>
    <x:row r="10">
      <x:c r="A10" s="101" t="str">
        <x:v>512 x 2048 x 1408</x:v>
      </x:c>
      <x:c r="B10" s="103" t="n">
        <x:v>32.03</x:v>
      </x:c>
      <x:c r="C10" s="103" t="n">
        <x:v>25.56</x:v>
      </x:c>
      <x:c r="D10" s="103" t="n">
        <x:v>25.15</x:v>
      </x:c>
      <x:c r="E10" s="104" t="n">
        <x:f>C10/B10</x:f>
        <x:v>0.7980018732438339</x:v>
      </x:c>
      <x:c r="F10" s="104" t="n">
        <x:f>D10/B10</x:f>
        <x:v>0.7852013737121448</x:v>
      </x:c>
      <x:c r="G10" s="104" t="n">
        <x:f>C10/D10</x:f>
        <x:v>1.0163021868787276</x:v>
      </x:c>
    </x:row>
    <x:row r="11">
      <x:c r="A11" s="101" t="str">
        <x:v>1024 x 1408 x 2048</x:v>
      </x:c>
      <x:c r="B11" s="103" t="n">
        <x:v>97.36</x:v>
      </x:c>
      <x:c r="C11" s="103" t="n">
        <x:v>98.5</x:v>
      </x:c>
      <x:c r="D11" s="103" t="n">
        <x:v>98.15</x:v>
      </x:c>
      <x:c r="E11" s="104" t="n">
        <x:f>C11/B11</x:f>
        <x:v>1.011709120788825</x:v>
      </x:c>
      <x:c r="F11" s="104" t="n">
        <x:f>D11/B11</x:f>
        <x:v>1.008114215283484</x:v>
      </x:c>
      <x:c r="G11" s="104" t="n">
        <x:f>C11/D11</x:f>
        <x:v>1.0035659704533877</x:v>
      </x:c>
    </x:row>
    <x:row r="12">
      <x:c r="A12" s="101" t="str">
        <x:v>1024 x 2048 x 1408</x:v>
      </x:c>
      <x:c r="B12" s="103" t="n">
        <x:v>99.29</x:v>
      </x:c>
      <x:c r="C12" s="103" t="n">
        <x:v>97.68</x:v>
      </x:c>
      <x:c r="D12" s="103" t="n">
        <x:v>96.27</x:v>
      </x:c>
      <x:c r="E12" s="104" t="n">
        <x:f>C12/B12</x:f>
        <x:v>0.9837848725954276</x:v>
      </x:c>
      <x:c r="F12" s="104" t="n">
        <x:f>D12/B12</x:f>
        <x:v>0.9695840467317957</x:v>
      </x:c>
      <x:c r="G12" s="104" t="n">
        <x:f>C12/D12</x:f>
        <x:v>1.014646307260829</x:v>
      </x:c>
    </x:row>
    <x:row r="13">
      <x:c r="A13" s="101" t="str">
        <x:v>2048 x 1408 x 2048</x:v>
      </x:c>
      <x:c r="B13" s="103" t="n">
        <x:v>191.6</x:v>
      </x:c>
      <x:c r="C13" s="103" t="n">
        <x:v>194.5</x:v>
      </x:c>
      <x:c r="D13" s="103" t="n">
        <x:v>196.1</x:v>
      </x:c>
      <x:c r="E13" s="104" t="n">
        <x:f>C13/B13</x:f>
        <x:v>1.0151356993736953</x:v>
      </x:c>
      <x:c r="F13" s="104" t="n">
        <x:f>D13/B13</x:f>
        <x:v>1.0234864300626305</x:v>
      </x:c>
      <x:c r="G13" s="104" t="n">
        <x:f>C13/D13</x:f>
        <x:v>0.9918408975012749</x:v>
      </x:c>
    </x:row>
    <x:row r="14">
      <x:c r="A14" s="101" t="str">
        <x:v>2048 x 2048 x 1408</x:v>
      </x:c>
      <x:c r="B14" s="103" t="n">
        <x:v>91.28</x:v>
      </x:c>
      <x:c r="C14" s="103" t="n">
        <x:v>93.36</x:v>
      </x:c>
      <x:c r="D14" s="103" t="n">
        <x:v>91.35</x:v>
      </x:c>
      <x:c r="E14" s="104" t="n">
        <x:f>C14/B14</x:f>
        <x:v>1.0227870289219982</x:v>
      </x:c>
      <x:c r="F14" s="104" t="n">
        <x:f>D14/B14</x:f>
        <x:v>1.0007668711656441</x:v>
      </x:c>
      <x:c r="G14" s="104" t="n">
        <x:f>C14/D14</x:f>
        <x:v>1.0220032840722497</x:v>
      </x:c>
    </x:row>
    <x:row r="15">
      <x:c r="A15" s="101" t="str">
        <x:v>4096 x 1408 x 2048</x:v>
      </x:c>
      <x:c r="B15" s="103" t="n">
        <x:v>174.99</x:v>
      </x:c>
      <x:c r="C15" s="103" t="n">
        <x:v>182.95</x:v>
      </x:c>
      <x:c r="D15" s="103" t="n">
        <x:v>185.86</x:v>
      </x:c>
      <x:c r="E15" s="104" t="n">
        <x:f>C15/B15</x:f>
        <x:v>1.045488313617921</x:v>
      </x:c>
      <x:c r="F15" s="104" t="n">
        <x:f>D15/B15</x:f>
        <x:v>1.0621178353048746</x:v>
      </x:c>
      <x:c r="G15" s="104" t="n">
        <x:f>C15/D15</x:f>
        <x:v>0.9843430539115462</x:v>
      </x:c>
    </x:row>
    <x:row r="16">
      <x:c r="A16" s="101" t="str">
        <x:v>4096 x 2048 x 1408</x:v>
      </x:c>
      <x:c r="B16" s="103" t="n">
        <x:v>168.31</x:v>
      </x:c>
      <x:c r="C16" s="103" t="n">
        <x:v>182</x:v>
      </x:c>
      <x:c r="D16" s="103" t="n">
        <x:v>175.71</x:v>
      </x:c>
      <x:c r="E16" s="104" t="n">
        <x:f>C16/B16</x:f>
        <x:v>1.0813380072485295</x:v>
      </x:c>
      <x:c r="F16" s="104" t="n">
        <x:f>D16/B16</x:f>
        <x:v>1.0439664904046106</x:v>
      </x:c>
      <x:c r="G16" s="104" t="n">
        <x:f>C16/D16</x:f>
        <x:v>1.035797621080189</x:v>
      </x:c>
    </x:row>
    <x:row r="17">
      <x:c r="A17" s="101" t="str">
        <x:v>512 x 4096 x 4096</x:v>
      </x:c>
      <x:c r="B17" s="103" t="n">
        <x:v>133.58</x:v>
      </x:c>
      <x:c r="C17" s="103" t="n">
        <x:v>131.28</x:v>
      </x:c>
      <x:c r="D17" s="103" t="n">
        <x:v>130.85</x:v>
      </x:c>
      <x:c r="E17" s="104" t="n">
        <x:f>C17/B17</x:f>
        <x:v>0.9827818535708938</x:v>
      </x:c>
      <x:c r="F17" s="104" t="n">
        <x:f>D17/B17</x:f>
        <x:v>0.979562808803713</x:v>
      </x:c>
      <x:c r="G17" s="104" t="n">
        <x:f>C17/D17</x:f>
        <x:v>1.0032862055789071</x:v>
      </x:c>
    </x:row>
    <x:row r="21">
      <x:c r="A21" s="123" t="str">
        <x:v>cuBLASLt configuration and NCU confirmation</x:v>
      </x:c>
      <x:c r="B21" s="123"/>
      <x:c r="C21" s="123"/>
      <x:c r="D21" s="123"/>
    </x:row>
    <x:row r="22">
      <x:c r="A22" s="124" t="str">
        <x:v>Property</x:v>
      </x:c>
      <x:c r="B22" s="124" t="str">
        <x:v>Observed value</x:v>
      </x:c>
    </x:row>
    <x:row r="23">
      <x:c r="A23" s="100" t="str">
        <x:v>Input / output dtype</x:v>
      </x:c>
      <x:c r="B23" s="100" t="str">
        <x:v>BF16 / BF16</x:v>
      </x:c>
    </x:row>
    <x:row r="24">
      <x:c r="A24" s="100" t="str">
        <x:v>Compute / accumulator type</x:v>
      </x:c>
      <x:c r="B24" s="100" t="str">
        <x:v>CUBLAS_COMPUTE_32F / FP32</x:v>
      </x:c>
    </x:row>
    <x:row r="25">
      <x:c r="A25" s="100" t="str">
        <x:v>Algorithm selection</x:v>
      </x:c>
      <x:c r="B25" s="100" t="str">
        <x:v>cuBLASLt Tensor Core heuristic</x:v>
      </x:c>
    </x:row>
    <x:row r="26">
      <x:c r="A26" s="100" t="str">
        <x:v>Observed SASS</x:v>
      </x:c>
      <x:c r="B26" s="100" t="str">
        <x:v>HGMMA.64x112x16.F32.BF16</x:v>
      </x:c>
    </x:row>
    <x:row r="27">
      <x:c r="A27" s="100" t="str">
        <x:v>Tensor pipe active (% peak)</x:v>
      </x:c>
      <x:c r="B27" s="107" t="n">
        <x:v>24.390369</x:v>
      </x:c>
    </x:row>
    <x:row r="28">
      <x:c r="A28" s="100" t="str">
        <x:v>Target-shape NCU duration (us)</x:v>
      </x:c>
      <x:c r="B28" s="107" t="n">
        <x:v>143.968</x:v>
      </x:c>
    </x:row>
    <x:row r="30" ht="38" customHeight="1">
      <x:c r="A30" s="127" t="str">
        <x:v>Speedup is baseline latency divided by lane-ready sparse latency. Values above 1.0x mean the sparse kernel is faster. NCU duration includes profiling replay overhead and should not be compared directly with benchmark latency.</x:v>
      </x:c>
      <x:c r="B30" s="127"/>
      <x:c r="C30" s="127"/>
      <x:c r="D30" s="127"/>
      <x:c r="E30" s="127"/>
      <x:c r="F30" s="127"/>
      <x:c r="G30" s="127"/>
    </x:row>
  </x:sheetData>
  <x:mergeCells>
    <x:mergeCell ref="A1:G1"/>
    <x:mergeCell ref="A2:G2"/>
    <x:mergeCell ref="A21:D21"/>
    <x:mergeCell ref="A30:G30"/>
  </x:mergeCells>
  <x:conditionalFormatting sqref="E5:E17">
    <x:cfRule type="colorScale" priority="1">
      <x:colorScale>
        <x:cfvo type="min"/>
        <x:cfvo type="percentile" val="50"/>
        <x:cfvo type="max"/>
        <x:color rgb="FFF9B9BC"/>
        <x:color rgb="FFFFF0BF"/>
        <x:color rgb="FFB8EDC9"/>
      </x:colorScale>
    </x:cfRule>
  </x:conditionalFormatting>
  <x:conditionalFormatting sqref="F5:F17">
    <x:cfRule type="colorScale" priority="2">
      <x:colorScale>
        <x:cfvo type="min"/>
        <x:cfvo type="percentile" val="50"/>
        <x:cfvo type="max"/>
        <x:color rgb="FFF9B9BC"/>
        <x:color rgb="FFFFF0BF"/>
        <x:color rgb="FFB8EDC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152" t="str">
        <x:v>128 x 32 Weight Tile + Three-Stage TMA</x:v>
      </x:c>
      <x:c r="B1" s="152"/>
      <x:c r="C1" s="152"/>
      <x:c r="D1" s="152"/>
      <x:c r="E1" s="152"/>
      <x:c r="F1" s="152"/>
      <x:c r="G1" s="152"/>
      <x:c r="H1" s="152"/>
      <x:c r="I1" s="152"/>
    </x:row>
    <x:row r="2" ht="24" customHeight="1">
      <x:c r="A2" s="153" t="str">
        <x:v>NVIDIA H20 | BF16 input/output | FP32 accumulation | 1-of-2 blocks use 2:4 | L2 flush disabled</x:v>
      </x:c>
      <x:c r="B2" s="153"/>
      <x:c r="C2" s="153"/>
      <x:c r="D2" s="153"/>
      <x:c r="E2" s="153"/>
      <x:c r="F2" s="153"/>
      <x:c r="G2" s="153"/>
      <x:c r="H2" s="153"/>
      <x:c r="I2" s="153"/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</x:row>
    <x:row r="4" ht="36" customHeight="1">
      <x:c r="A4" s="155" t="str">
        <x:v>Shape (M x N x K)</x:v>
      </x:c>
      <x:c r="B4" s="155" t="str">
        <x:v>Sparse latency (us)</x:v>
      </x:c>
      <x:c r="C4" s="155" t="str">
        <x:v>Dense latency (us)</x:v>
      </x:c>
      <x:c r="D4" s="155" t="str">
        <x:v>Reduce (us)</x:v>
      </x:c>
      <x:c r="E4" s="155" t="str">
        <x:v>Total (us)</x:v>
      </x:c>
      <x:c r="F4" s="155" t="str">
        <x:v>DeepGEMM (us)</x:v>
      </x:c>
      <x:c r="G4" s="155" t="str">
        <x:v>Speedup over DeepGEMM</x:v>
      </x:c>
      <x:c r="H4" s="155" t="str">
        <x:v>Stage-2 total (us)</x:v>
      </x:c>
      <x:c r="I4" s="155" t="str">
        <x:v>Change vs Stage-2</x:v>
      </x:c>
    </x:row>
    <x:row r="5">
      <x:c r="A5" s="156" t="str">
        <x:v>512 x 1408 x 2048</x:v>
      </x:c>
      <x:c r="B5" s="157" t="n">
        <x:v>29.15</x:v>
      </x:c>
      <x:c r="C5" s="157" t="n">
        <x:v>21.98</x:v>
      </x:c>
      <x:c r="D5" s="157" t="n">
        <x:v>9.56</x:v>
      </x:c>
      <x:c r="E5" s="157" t="n">
        <x:v>60.7</x:v>
      </x:c>
      <x:c r="F5" s="157" t="n">
        <x:v>25.19</x:v>
      </x:c>
      <x:c r="G5" s="158" t="n">
        <x:f>F5/E5</x:f>
        <x:v>0.41499176276771005</x:v>
      </x:c>
      <x:c r="H5" s="157" t="n">
        <x:v>60.64</x:v>
      </x:c>
      <x:c r="I5" s="159" t="n">
        <x:f>E5/H5-1</x:f>
        <x:v>0.0009894459102903763</x:v>
      </x:c>
    </x:row>
    <x:row r="6">
      <x:c r="A6" s="156" t="str">
        <x:v>1024 x 1408 x 2048</x:v>
      </x:c>
      <x:c r="B6" s="157" t="n">
        <x:v>58.11</x:v>
      </x:c>
      <x:c r="C6" s="157" t="n">
        <x:v>41.62</x:v>
      </x:c>
      <x:c r="D6" s="157" t="n">
        <x:v>10.84</x:v>
      </x:c>
      <x:c r="E6" s="157" t="n">
        <x:v>110.57</x:v>
      </x:c>
      <x:c r="F6" s="157" t="n">
        <x:v>48.99</x:v>
      </x:c>
      <x:c r="G6" s="158" t="n">
        <x:f>F6/E6</x:f>
        <x:v>0.4430677398932803</x:v>
      </x:c>
      <x:c r="H6" s="157" t="n">
        <x:v>108.5</x:v>
      </x:c>
      <x:c r="I6" s="159" t="n">
        <x:f>E6/H6-1</x:f>
        <x:v>0.019078341013824884</x:v>
      </x:c>
    </x:row>
    <x:row r="7">
      <x:c r="A7" s="156" t="str">
        <x:v>2048 x 1408 x 2048</x:v>
      </x:c>
      <x:c r="B7" s="157" t="n">
        <x:v>104.37</x:v>
      </x:c>
      <x:c r="C7" s="157" t="n">
        <x:v>63.69</x:v>
      </x:c>
      <x:c r="D7" s="157" t="n">
        <x:v>16.56</x:v>
      </x:c>
      <x:c r="E7" s="157" t="n">
        <x:v>184.62</x:v>
      </x:c>
      <x:c r="F7" s="157" t="n">
        <x:v>94.78</x:v>
      </x:c>
      <x:c r="G7" s="158" t="n">
        <x:f>F7/E7</x:f>
        <x:v>0.5133788321958618</x:v>
      </x:c>
      <x:c r="H7" s="157" t="n">
        <x:v>202.41</x:v>
      </x:c>
      <x:c r="I7" s="159" t="n">
        <x:f>E7/H7-1</x:f>
        <x:v>-0.08789091448050979</x:v>
      </x:c>
    </x:row>
    <x:row r="8">
      <x:c r="A8" s="160" t="str">
        <x:v>4096 x 1408 x 2048</x:v>
      </x:c>
      <x:c r="B8" s="161" t="n">
        <x:v>185.78</x:v>
      </x:c>
      <x:c r="C8" s="161" t="n">
        <x:v>106.27</x:v>
      </x:c>
      <x:c r="D8" s="161" t="n">
        <x:v>37.99</x:v>
      </x:c>
      <x:c r="E8" s="161" t="n">
        <x:v>330.04</x:v>
      </x:c>
      <x:c r="F8" s="161" t="n">
        <x:v>183.01</x:v>
      </x:c>
      <x:c r="G8" s="162" t="n">
        <x:f>F8/E8</x:f>
        <x:v>0.5545085444188582</x:v>
      </x:c>
      <x:c r="H8" s="161" t="n">
        <x:v>329.27</x:v>
      </x:c>
      <x:c r="I8" s="163" t="n">
        <x:f>E8/H8-1</x:f>
        <x:v>0.0023385063929299843</x:v>
      </x:c>
    </x:row>
    <x:row r="9">
      <x:c r="A9" s="154"/>
      <x:c r="B9" s="154"/>
      <x:c r="C9" s="154"/>
      <x:c r="D9" s="154"/>
      <x:c r="E9" s="154"/>
      <x:c r="F9" s="154"/>
      <x:c r="G9" s="154"/>
      <x:c r="H9" s="154"/>
      <x:c r="I9" s="154"/>
    </x:row>
    <x:row r="10">
      <x:c r="A10" s="154"/>
      <x:c r="B10" s="154"/>
      <x:c r="C10" s="154"/>
      <x:c r="D10" s="154"/>
      <x:c r="E10" s="154"/>
      <x:c r="F10" s="154"/>
      <x:c r="G10" s="154"/>
      <x:c r="H10" s="154"/>
      <x:c r="I10" s="154"/>
    </x:row>
    <x:row r="11">
      <x:c r="A11" s="164" t="str">
        <x:v>NCU: Sparse Kernel at 1024 x 1408 x 2048</x:v>
      </x:c>
      <x:c r="B11" s="164"/>
      <x:c r="C11" s="164"/>
      <x:c r="D11" s="164"/>
      <x:c r="E11" s="154"/>
      <x:c r="F11" s="154"/>
      <x:c r="G11" s="154"/>
      <x:c r="H11" s="154"/>
      <x:c r="I11" s="154"/>
    </x:row>
    <x:row r="12">
      <x:c r="A12" s="155" t="str">
        <x:v>Metric</x:v>
      </x:c>
      <x:c r="B12" s="155" t="str">
        <x:v>Stage 2</x:v>
      </x:c>
      <x:c r="C12" s="155" t="str">
        <x:v>Stage 3</x:v>
      </x:c>
      <x:c r="D12" s="155" t="str">
        <x:v>Change</x:v>
      </x:c>
      <x:c r="E12" s="154"/>
      <x:c r="F12" s="154"/>
      <x:c r="G12" s="154"/>
      <x:c r="H12" s="154"/>
      <x:c r="I12" s="154"/>
    </x:row>
    <x:row r="13">
      <x:c r="A13" s="156" t="str">
        <x:v>NCU duration (us)</x:v>
      </x:c>
      <x:c r="B13" s="157" t="n">
        <x:v>84.29</x:v>
      </x:c>
      <x:c r="C13" s="157" t="n">
        <x:v>83.58</x:v>
      </x:c>
      <x:c r="D13" s="159" t="n">
        <x:f>C13/B13-1</x:f>
        <x:v>-0.008423300510143616</x:v>
      </x:c>
      <x:c r="E13" s="154"/>
      <x:c r="F13" s="154"/>
      <x:c r="G13" s="154"/>
      <x:c r="H13" s="154"/>
      <x:c r="I13" s="154"/>
    </x:row>
    <x:row r="14">
      <x:c r="A14" s="156" t="str">
        <x:v>Memory throughput (% peak)</x:v>
      </x:c>
      <x:c r="B14" s="157" t="n">
        <x:v>10.58</x:v>
      </x:c>
      <x:c r="C14" s="157" t="n">
        <x:v>10.98</x:v>
      </x:c>
      <x:c r="D14" s="159" t="n">
        <x:f>C14/B14-1</x:f>
        <x:v>0.03780718336483946</x:v>
      </x:c>
      <x:c r="E14" s="154"/>
      <x:c r="F14" s="154"/>
      <x:c r="G14" s="154"/>
      <x:c r="H14" s="154"/>
      <x:c r="I14" s="154"/>
    </x:row>
    <x:row r="15">
      <x:c r="A15" s="156" t="str">
        <x:v>DRAM throughput (% peak)</x:v>
      </x:c>
      <x:c r="B15" s="157" t="n">
        <x:v>1.78</x:v>
      </x:c>
      <x:c r="C15" s="157" t="n">
        <x:v>1.79</x:v>
      </x:c>
      <x:c r="D15" s="159" t="n">
        <x:f>C15/B15-1</x:f>
        <x:v>0.00561797752808979</x:v>
      </x:c>
      <x:c r="E15" s="154"/>
      <x:c r="F15" s="154"/>
      <x:c r="G15" s="154"/>
      <x:c r="H15" s="154"/>
      <x:c r="I15" s="154"/>
    </x:row>
    <x:row r="16">
      <x:c r="A16" s="156" t="str">
        <x:v>SM busy (%)</x:v>
      </x:c>
      <x:c r="B16" s="157" t="n">
        <x:v>20.6</x:v>
      </x:c>
      <x:c r="C16" s="157" t="n">
        <x:v>21.16</x:v>
      </x:c>
      <x:c r="D16" s="159" t="n">
        <x:f>C16/B16-1</x:f>
        <x:v>0.027184466019417375</x:v>
      </x:c>
      <x:c r="E16" s="154"/>
      <x:c r="F16" s="154"/>
      <x:c r="G16" s="154"/>
      <x:c r="H16" s="154"/>
      <x:c r="I16" s="154"/>
    </x:row>
    <x:row r="17">
      <x:c r="A17" s="156" t="str">
        <x:v>Eligible warps / scheduler</x:v>
      </x:c>
      <x:c r="B17" s="157" t="n">
        <x:v>0.22</x:v>
      </x:c>
      <x:c r="C17" s="157" t="n">
        <x:v>0.22</x:v>
      </x:c>
      <x:c r="D17" s="159" t="n">
        <x:f>C17/B17-1</x:f>
        <x:v>0</x:v>
      </x:c>
      <x:c r="E17" s="154"/>
      <x:c r="F17" s="154"/>
      <x:c r="G17" s="154"/>
      <x:c r="H17" s="154"/>
      <x:c r="I17" s="154"/>
    </x:row>
    <x:row r="18">
      <x:c r="A18" s="156" t="str">
        <x:v>Registers / thread</x:v>
      </x:c>
      <x:c r="B18" s="157" t="n">
        <x:v>124</x:v>
      </x:c>
      <x:c r="C18" s="157" t="n">
        <x:v>124</x:v>
      </x:c>
      <x:c r="D18" s="159" t="n">
        <x:f>C18/B18-1</x:f>
        <x:v>0</x:v>
      </x:c>
      <x:c r="E18" s="154"/>
      <x:c r="F18" s="154"/>
      <x:c r="G18" s="154"/>
      <x:c r="H18" s="154"/>
      <x:c r="I18" s="154"/>
    </x:row>
    <x:row r="19">
      <x:c r="A19" s="156" t="str">
        <x:v>Dynamic shared memory (KB / CTA)</x:v>
      </x:c>
      <x:c r="B19" s="157" t="n">
        <x:v>16.42</x:v>
      </x:c>
      <x:c r="C19" s="157" t="n">
        <x:v>24.62</x:v>
      </x:c>
      <x:c r="D19" s="159" t="n">
        <x:f>C19/B19-1</x:f>
        <x:v>0.4993909866017052</x:v>
      </x:c>
      <x:c r="E19" s="154"/>
      <x:c r="F19" s="154"/>
      <x:c r="G19" s="154"/>
      <x:c r="H19" s="154"/>
      <x:c r="I19" s="154"/>
    </x:row>
    <x:row r="20">
      <x:c r="A20" s="156" t="str">
        <x:v>Theoretical occupancy (%)</x:v>
      </x:c>
      <x:c r="B20" s="157" t="n">
        <x:v>25</x:v>
      </x:c>
      <x:c r="C20" s="157" t="n">
        <x:v>25</x:v>
      </x:c>
      <x:c r="D20" s="159" t="n">
        <x:f>C20/B20-1</x:f>
        <x:v>0</x:v>
      </x:c>
      <x:c r="E20" s="154"/>
      <x:c r="F20" s="154"/>
      <x:c r="G20" s="154"/>
      <x:c r="H20" s="154"/>
      <x:c r="I20" s="154"/>
    </x:row>
    <x:row r="21">
      <x:c r="A21" s="156" t="str">
        <x:v>Achieved occupancy (%)</x:v>
      </x:c>
      <x:c r="B21" s="157" t="n">
        <x:v>14.19</x:v>
      </x:c>
      <x:c r="C21" s="157" t="n">
        <x:v>14.23</x:v>
      </x:c>
      <x:c r="D21" s="159" t="n">
        <x:f>C21/B21-1</x:f>
        <x:v>0.0028188865398168783</x:v>
      </x:c>
      <x:c r="E21" s="154"/>
      <x:c r="F21" s="154"/>
      <x:c r="G21" s="154"/>
      <x:c r="H21" s="154"/>
      <x:c r="I21" s="154"/>
    </x:row>
    <x:row r="22">
      <x:c r="A22" s="160" t="str">
        <x:v>Long scoreboard stall (%)</x:v>
      </x:c>
      <x:c r="B22" s="161" t="n">
        <x:v>59.6</x:v>
      </x:c>
      <x:c r="C22" s="161" t="n">
        <x:v>57.8</x:v>
      </x:c>
      <x:c r="D22" s="163" t="n">
        <x:f>C22/B22-1</x:f>
        <x:v>-0.030201342281879318</x:v>
      </x:c>
      <x:c r="E22" s="154"/>
      <x:c r="F22" s="154"/>
      <x:c r="G22" s="154"/>
      <x:c r="H22" s="154"/>
      <x:c r="I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</x:row>
    <x:row r="24" ht="34" customHeight="1">
      <x:c r="A24" s="165" t="str">
        <x:v>Decision: keep the three-stage kernel as an experimental version; do not dispatch M &gt; 512 to it because the end-to-end latency did not improve consistently.</x:v>
      </x:c>
      <x:c r="B24" s="165"/>
      <x:c r="C24" s="165"/>
      <x:c r="D24" s="165"/>
      <x:c r="E24" s="165"/>
      <x:c r="F24" s="165"/>
      <x:c r="G24" s="165"/>
      <x:c r="H24" s="165"/>
      <x:c r="I24" s="165"/>
    </x:row>
  </x:sheetData>
  <x:mergeCells>
    <x:mergeCell ref="A1:I1"/>
    <x:mergeCell ref="A2:I2"/>
    <x:mergeCell ref="A11:D11"/>
    <x:mergeCell ref="A24:I24"/>
  </x:mergeCells>
  <x:conditionalFormatting sqref="G5:G8">
    <x:cfRule type="colorScale" priority="1">
      <x:colorScale>
        <x:cfvo type="min"/>
        <x:cfvo type="percentile" val="50"/>
        <x:cfvo type="max"/>
        <x:color rgb="FFF8B4B4"/>
        <x:color rgb="FFFEF3C7"/>
        <x:color rgb="FFB7EFC5"/>
      </x:colorScale>
    </x:cfRule>
  </x:conditionalFormatting>
  <x:conditionalFormatting sqref="I5:I8">
    <x:cfRule type="colorScale" priority="2">
      <x:colorScale>
        <x:cfvo type="min"/>
        <x:cfvo type="percentile" val="50"/>
        <x:cfvo type="max"/>
        <x:color rgb="FFB7EFC5"/>
        <x:color rgb="FFFEF3C7"/>
        <x:color rgb="FFF8B4B4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22" hidden="0" customWidth="1"/>
  </x:cols>
  <x:sheetData>
    <x:row r="1" ht="34" customHeight="1">
      <x:c r="A1" s="168" t="str">
        <x:v>Merge Two K Blocks per WGMMA Group</x:v>
      </x:c>
      <x:c r="B1" s="168"/>
      <x:c r="C1" s="168"/>
      <x:c r="D1" s="168"/>
      <x:c r="E1" s="168"/>
      <x:c r="F1" s="168"/>
      <x:c r="G1" s="168"/>
    </x:row>
    <x:row r="2" ht="24" customHeight="1">
      <x:c r="A2" s="171" t="str">
        <x:v>NVIDIA H20 | BF16 input/output | FP32 accumulation | 64 x 64 weight blocks | lane-ready metadata | L2 flush disabled</x:v>
      </x:c>
      <x:c r="B2" s="171"/>
      <x:c r="C2" s="171"/>
      <x:c r="D2" s="171"/>
      <x:c r="E2" s="171"/>
      <x:c r="F2" s="171"/>
      <x:c r="G2" s="171"/>
    </x:row>
    <x:row r="3">
      <x:c r="A3" s="154"/>
      <x:c r="B3" s="154"/>
      <x:c r="C3" s="154"/>
      <x:c r="D3" s="154"/>
      <x:c r="E3" s="154"/>
      <x:c r="F3" s="154"/>
      <x:c r="G3" s="154"/>
    </x:row>
    <x:row r="4" ht="36" customHeight="1">
      <x:c r="A4" s="178" t="str">
        <x:v>Shape (M x N x K)</x:v>
      </x:c>
      <x:c r="B4" s="178" t="str">
        <x:v>Lane-ready (us)</x:v>
      </x:c>
      <x:c r="C4" s="178" t="str">
        <x:v>Merge K2 (us)</x:v>
      </x:c>
      <x:c r="D4" s="178" t="str">
        <x:v>DeepGEMM (us)</x:v>
      </x:c>
      <x:c r="E4" s="178" t="str">
        <x:v>cuBLASLt (us)</x:v>
      </x:c>
      <x:c r="F4" s="178" t="str">
        <x:v>Speedup over DeepGEMM</x:v>
      </x:c>
      <x:c r="G4" s="178" t="str">
        <x:v>Change vs Lane-ready</x:v>
      </x:c>
    </x:row>
    <x:row r="5">
      <x:c r="A5" s="156" t="str">
        <x:v>128 x 1408 x 2048</x:v>
      </x:c>
      <x:c r="B5" s="157" t="n">
        <x:v>15.02</x:v>
      </x:c>
      <x:c r="C5" s="157" t="n">
        <x:v>19.73</x:v>
      </x:c>
      <x:c r="D5" s="157" t="n">
        <x:v>9.86</x:v>
      </x:c>
      <x:c r="E5" s="157" t="n">
        <x:v>8.22</x:v>
      </x:c>
      <x:c r="F5" s="158" t="n">
        <x:f>D5/C5</x:f>
        <x:v>0.4997465788139888</x:v>
      </x:c>
      <x:c r="G5" s="159" t="n">
        <x:f>C5/B5-1</x:f>
        <x:v>0.3135818908122503</x:v>
      </x:c>
    </x:row>
    <x:row r="6">
      <x:c r="A6" s="156" t="str">
        <x:v>128 x 2048 x 1408</x:v>
      </x:c>
      <x:c r="B6" s="157" t="n">
        <x:v>11.23</x:v>
      </x:c>
      <x:c r="C6" s="157" t="n">
        <x:v>14.35</x:v>
      </x:c>
      <x:c r="D6" s="157" t="n">
        <x:v>8.87</x:v>
      </x:c>
      <x:c r="E6" s="157" t="n">
        <x:v>8.03</x:v>
      </x:c>
      <x:c r="F6" s="158" t="n">
        <x:f>D6/C6</x:f>
        <x:v>0.6181184668989547</x:v>
      </x:c>
      <x:c r="G6" s="159" t="n">
        <x:f>C6/B6-1</x:f>
        <x:v>0.27782724844167395</x:v>
      </x:c>
    </x:row>
    <x:row r="7">
      <x:c r="A7" s="156" t="str">
        <x:v>256 x 1408 x 2048</x:v>
      </x:c>
      <x:c r="B7" s="157" t="n">
        <x:v>22.96</x:v>
      </x:c>
      <x:c r="C7" s="157" t="n">
        <x:v>24.72</x:v>
      </x:c>
      <x:c r="D7" s="157" t="n">
        <x:v>14.93</x:v>
      </x:c>
      <x:c r="E7" s="157" t="n">
        <x:v>14.72</x:v>
      </x:c>
      <x:c r="F7" s="158" t="n">
        <x:f>D7/C7</x:f>
        <x:v>0.6039644012944984</x:v>
      </x:c>
      <x:c r="G7" s="159" t="n">
        <x:f>C7/B7-1</x:f>
        <x:v>0.07665505226480818</x:v>
      </x:c>
    </x:row>
    <x:row r="8">
      <x:c r="A8" s="156" t="str">
        <x:v>256 x 2048 x 1408</x:v>
      </x:c>
      <x:c r="B8" s="157" t="n">
        <x:v>17.94</x:v>
      </x:c>
      <x:c r="C8" s="157" t="n">
        <x:v>19.18</x:v>
      </x:c>
      <x:c r="D8" s="157" t="n">
        <x:v>14.45</x:v>
      </x:c>
      <x:c r="E8" s="157" t="n">
        <x:v>14.53</x:v>
      </x:c>
      <x:c r="F8" s="158" t="n">
        <x:f>D8/C8</x:f>
        <x:v>0.7533889468196038</x:v>
      </x:c>
      <x:c r="G8" s="159" t="n">
        <x:f>C8/B8-1</x:f>
        <x:v>0.06911928651059074</x:v>
      </x:c>
    </x:row>
    <x:row r="9">
      <x:c r="A9" s="156" t="str">
        <x:v>512 x 1408 x 2048</x:v>
      </x:c>
      <x:c r="B9" s="157" t="n">
        <x:v>30.53</x:v>
      </x:c>
      <x:c r="C9" s="157" t="n">
        <x:v>30.43</x:v>
      </x:c>
      <x:c r="D9" s="157" t="n">
        <x:v>25.79</x:v>
      </x:c>
      <x:c r="E9" s="157" t="n">
        <x:v>25.94</x:v>
      </x:c>
      <x:c r="F9" s="158" t="n">
        <x:f>D9/C9</x:f>
        <x:v>0.847518895826487</x:v>
      </x:c>
      <x:c r="G9" s="159" t="n">
        <x:f>C9/B9-1</x:f>
        <x:v>-0.0032754667540124682</x:v>
      </x:c>
    </x:row>
    <x:row r="10">
      <x:c r="A10" s="156" t="str">
        <x:v>512 x 2048 x 1408</x:v>
      </x:c>
      <x:c r="B10" s="157" t="n">
        <x:v>31.06</x:v>
      </x:c>
      <x:c r="C10" s="157" t="n">
        <x:v>34.24</x:v>
      </x:c>
      <x:c r="D10" s="157" t="n">
        <x:v>24.84</x:v>
      </x:c>
      <x:c r="E10" s="157" t="n">
        <x:v>24.78</x:v>
      </x:c>
      <x:c r="F10" s="158" t="n">
        <x:f>D10/C10</x:f>
        <x:v>0.7254672897196262</x:v>
      </x:c>
      <x:c r="G10" s="159" t="n">
        <x:f>C10/B10-1</x:f>
        <x:v>0.10238248551191265</x:v>
      </x:c>
    </x:row>
    <x:row r="11">
      <x:c r="A11" s="156" t="str">
        <x:v>1024 x 1408 x 2048</x:v>
      </x:c>
      <x:c r="B11" s="157" t="n">
        <x:v>49.94</x:v>
      </x:c>
      <x:c r="C11" s="157" t="n">
        <x:v>51.51</x:v>
      </x:c>
      <x:c r="D11" s="157" t="n">
        <x:v>48.84</x:v>
      </x:c>
      <x:c r="E11" s="157" t="n">
        <x:v>48.81</x:v>
      </x:c>
      <x:c r="F11" s="158" t="n">
        <x:f>D11/C11</x:f>
        <x:v>0.9481654047757718</x:v>
      </x:c>
      <x:c r="G11" s="159" t="n">
        <x:f>C11/B11-1</x:f>
        <x:v>0.0314377252703244</x:v>
      </x:c>
    </x:row>
    <x:row r="12">
      <x:c r="A12" s="156" t="str">
        <x:v>1024 x 2048 x 1408</x:v>
      </x:c>
      <x:c r="B12" s="157" t="n">
        <x:v>49.78</x:v>
      </x:c>
      <x:c r="C12" s="157" t="n">
        <x:v>52.4</x:v>
      </x:c>
      <x:c r="D12" s="157" t="n">
        <x:v>47.06</x:v>
      </x:c>
      <x:c r="E12" s="157" t="n">
        <x:v>46.03</x:v>
      </x:c>
      <x:c r="F12" s="158" t="n">
        <x:f>D12/C12</x:f>
        <x:v>0.8980916030534352</x:v>
      </x:c>
      <x:c r="G12" s="159" t="n">
        <x:f>C12/B12-1</x:f>
        <x:v>0.05263157894736836</x:v>
      </x:c>
    </x:row>
    <x:row r="13">
      <x:c r="A13" s="156" t="str">
        <x:v>2048 x 1408 x 2048</x:v>
      </x:c>
      <x:c r="B13" s="157" t="n">
        <x:v>92.71</x:v>
      </x:c>
      <x:c r="C13" s="157" t="n">
        <x:v>95.69</x:v>
      </x:c>
      <x:c r="D13" s="157" t="n">
        <x:v>94.5</x:v>
      </x:c>
      <x:c r="E13" s="157" t="n">
        <x:v>94.02</x:v>
      </x:c>
      <x:c r="F13" s="158" t="n">
        <x:f>D13/C13</x:f>
        <x:v>0.9875640087783467</x:v>
      </x:c>
      <x:c r="G13" s="159" t="n">
        <x:f>C13/B13-1</x:f>
        <x:v>0.032143242368676495</x:v>
      </x:c>
    </x:row>
    <x:row r="14">
      <x:c r="A14" s="156" t="str">
        <x:v>2048 x 2048 x 1408</x:v>
      </x:c>
      <x:c r="B14" s="157" t="n">
        <x:v>90.78</x:v>
      </x:c>
      <x:c r="C14" s="157" t="n">
        <x:v>92.31</x:v>
      </x:c>
      <x:c r="D14" s="157" t="n">
        <x:v>92.39</x:v>
      </x:c>
      <x:c r="E14" s="157" t="n">
        <x:v>90.5</x:v>
      </x:c>
      <x:c r="F14" s="158" t="n">
        <x:f>D14/C14</x:f>
        <x:v>1.0008666450005417</x:v>
      </x:c>
      <x:c r="G14" s="159" t="n">
        <x:f>C14/B14-1</x:f>
        <x:v>0.016853932584269593</x:v>
      </x:c>
    </x:row>
    <x:row r="15">
      <x:c r="A15" s="156" t="str">
        <x:v>4096 x 1408 x 2048</x:v>
      </x:c>
      <x:c r="B15" s="157" t="n">
        <x:v>170.26</x:v>
      </x:c>
      <x:c r="C15" s="157" t="n">
        <x:v>173.35</x:v>
      </x:c>
      <x:c r="D15" s="157" t="n">
        <x:v>182.62</x:v>
      </x:c>
      <x:c r="E15" s="157" t="n">
        <x:v>185.71</x:v>
      </x:c>
      <x:c r="F15" s="158" t="n">
        <x:f>D15/C15</x:f>
        <x:v>1.0534756273435246</x:v>
      </x:c>
      <x:c r="G15" s="159" t="n">
        <x:f>C15/B15-1</x:f>
        <x:v>0.01814871373193938</x:v>
      </x:c>
    </x:row>
    <x:row r="16">
      <x:c r="A16" s="160" t="str">
        <x:v>4096 x 2048 x 1408</x:v>
      </x:c>
      <x:c r="B16" s="161" t="n">
        <x:v>168.81</x:v>
      </x:c>
      <x:c r="C16" s="161" t="n">
        <x:v>169.53</x:v>
      </x:c>
      <x:c r="D16" s="161" t="n">
        <x:v>182.29</x:v>
      </x:c>
      <x:c r="E16" s="161" t="n">
        <x:v>175.79</x:v>
      </x:c>
      <x:c r="F16" s="162" t="n">
        <x:f>D16/C16</x:f>
        <x:v>1.0752669144104288</x:v>
      </x:c>
      <x:c r="G16" s="163" t="n">
        <x:f>C16/B16-1</x:f>
        <x:v>0.004265150168828891</x:v>
      </x:c>
    </x:row>
    <x:row r="17">
      <x:c r="A17" s="154"/>
      <x:c r="B17" s="154"/>
      <x:c r="C17" s="154"/>
      <x:c r="D17" s="154"/>
      <x:c r="E17" s="154"/>
      <x:c r="F17" s="154"/>
      <x:c r="G17" s="154"/>
    </x:row>
    <x:row r="18">
      <x:c r="A18" s="154"/>
      <x:c r="B18" s="154"/>
      <x:c r="C18" s="154"/>
      <x:c r="D18" s="154"/>
      <x:c r="E18" s="154"/>
      <x:c r="F18" s="154"/>
      <x:c r="G18" s="154"/>
    </x:row>
    <x:row r="19">
      <x:c r="A19" s="177" t="str">
        <x:v>NCU: 1024 x 1408 x 2048 Lane-Ready Kernel</x:v>
      </x:c>
      <x:c r="B19" s="177"/>
      <x:c r="C19" s="177"/>
      <x:c r="D19" s="177"/>
      <x:c r="E19" s="154"/>
      <x:c r="F19" s="154"/>
      <x:c r="G19" s="154"/>
    </x:row>
    <x:row r="20">
      <x:c r="A20" s="178" t="str">
        <x:v>Metric</x:v>
      </x:c>
      <x:c r="B20" s="178" t="str">
        <x:v>Baseline</x:v>
      </x:c>
      <x:c r="C20" s="178" t="str">
        <x:v>Merge K2</x:v>
      </x:c>
      <x:c r="D20" s="178" t="str">
        <x:v>Change</x:v>
      </x:c>
      <x:c r="E20" s="154"/>
      <x:c r="F20" s="154"/>
      <x:c r="G20" s="154"/>
    </x:row>
    <x:row r="21">
      <x:c r="A21" s="156" t="str">
        <x:v>NCU duration (us)</x:v>
      </x:c>
      <x:c r="B21" s="157" t="n">
        <x:v>62.24</x:v>
      </x:c>
      <x:c r="C21" s="157" t="n">
        <x:v>65.31</x:v>
      </x:c>
      <x:c r="D21" s="159" t="n">
        <x:f>C21/B21-1</x:f>
        <x:v>0.049325192802056606</x:v>
      </x:c>
      <x:c r="E21" s="154"/>
      <x:c r="F21" s="154"/>
      <x:c r="G21" s="154"/>
    </x:row>
    <x:row r="22">
      <x:c r="A22" s="156" t="str">
        <x:v>SM busy (%)</x:v>
      </x:c>
      <x:c r="B22" s="157" t="n">
        <x:v>68.91</x:v>
      </x:c>
      <x:c r="C22" s="157" t="n">
        <x:v>62.23</x:v>
      </x:c>
      <x:c r="D22" s="159" t="n">
        <x:f>C22/B22-1</x:f>
        <x:v>-0.09693803511827026</x:v>
      </x:c>
      <x:c r="E22" s="154"/>
      <x:c r="F22" s="154"/>
      <x:c r="G22" s="154"/>
    </x:row>
    <x:row r="23">
      <x:c r="A23" s="156" t="str">
        <x:v>Memory throughput (% peak)</x:v>
      </x:c>
      <x:c r="B23" s="157" t="n">
        <x:v>22.06</x:v>
      </x:c>
      <x:c r="C23" s="157" t="n">
        <x:v>21.43</x:v>
      </x:c>
      <x:c r="D23" s="159" t="n">
        <x:f>C23/B23-1</x:f>
        <x:v>-0.02855847688123292</x:v>
      </x:c>
      <x:c r="E23" s="154"/>
      <x:c r="F23" s="154"/>
      <x:c r="G23" s="154"/>
    </x:row>
    <x:row r="24">
      <x:c r="A24" s="156" t="str">
        <x:v>DRAM throughput (% peak)</x:v>
      </x:c>
      <x:c r="B24" s="157" t="n">
        <x:v>3.49</x:v>
      </x:c>
      <x:c r="C24" s="157" t="n">
        <x:v>3.32</x:v>
      </x:c>
      <x:c r="D24" s="159" t="n">
        <x:f>C24/B24-1</x:f>
        <x:v>-0.04871060171919783</x:v>
      </x:c>
      <x:c r="E24" s="154"/>
      <x:c r="F24" s="154"/>
      <x:c r="G24" s="154"/>
    </x:row>
    <x:row r="25">
      <x:c r="A25" s="156" t="str">
        <x:v>Eligible warps / scheduler</x:v>
      </x:c>
      <x:c r="B25" s="157" t="n">
        <x:v>0.28</x:v>
      </x:c>
      <x:c r="C25" s="157" t="n">
        <x:v>0.27</x:v>
      </x:c>
      <x:c r="D25" s="159" t="n">
        <x:f>C25/B25-1</x:f>
        <x:v>-0.0357142857142857</x:v>
      </x:c>
      <x:c r="E25" s="154"/>
      <x:c r="F25" s="154"/>
      <x:c r="G25" s="154"/>
    </x:row>
    <x:row r="26">
      <x:c r="A26" s="156" t="str">
        <x:v>Warp cycles / issued instruction</x:v>
      </x:c>
      <x:c r="B26" s="157" t="n">
        <x:v>24.13</x:v>
      </x:c>
      <x:c r="C26" s="157" t="n">
        <x:v>21.37</x:v>
      </x:c>
      <x:c r="D26" s="159" t="n">
        <x:f>C26/B26-1</x:f>
        <x:v>-0.11438043928719432</x:v>
      </x:c>
      <x:c r="E26" s="154"/>
      <x:c r="F26" s="154"/>
      <x:c r="G26" s="154"/>
    </x:row>
    <x:row r="27">
      <x:c r="A27" s="156" t="str">
        <x:v>Registers / thread</x:v>
      </x:c>
      <x:c r="B27" s="157" t="n">
        <x:v>60</x:v>
      </x:c>
      <x:c r="C27" s="157" t="n">
        <x:v>63</x:v>
      </x:c>
      <x:c r="D27" s="159" t="n">
        <x:f>C27/B27-1</x:f>
        <x:v>0.050000000000000044</x:v>
      </x:c>
      <x:c r="E27" s="154"/>
      <x:c r="F27" s="154"/>
      <x:c r="G27" s="154"/>
    </x:row>
    <x:row r="28">
      <x:c r="A28" s="156" t="str">
        <x:v>Achieved occupancy (%)</x:v>
      </x:c>
      <x:c r="B28" s="157" t="n">
        <x:v>30.93</x:v>
      </x:c>
      <x:c r="C28" s="157" t="n">
        <x:v>29.96</x:v>
      </x:c>
      <x:c r="D28" s="159" t="n">
        <x:f>C28/B28-1</x:f>
        <x:v>-0.03136113805366958</x:v>
      </x:c>
      <x:c r="E28" s="154"/>
      <x:c r="F28" s="154"/>
      <x:c r="G28" s="154"/>
    </x:row>
    <x:row r="29">
      <x:c r="A29" s="156" t="str">
        <x:v>CTA barrier stall (%)</x:v>
      </x:c>
      <x:c r="B29" s="157" t="n">
        <x:v>67.1</x:v>
      </x:c>
      <x:c r="C29" s="157" t="n">
        <x:v>57.5</x:v>
      </x:c>
      <x:c r="D29" s="159" t="n">
        <x:f>C29/B29-1</x:f>
        <x:v>-0.1430700447093889</x:v>
      </x:c>
      <x:c r="E29" s="154"/>
      <x:c r="F29" s="154"/>
      <x:c r="G29" s="154"/>
    </x:row>
    <x:row r="30">
      <x:c r="A30" s="160" t="str">
        <x:v>Executed instructions</x:v>
      </x:c>
      <x:c r="B30" s="179" t="n">
        <x:v>5105987</x:v>
      </x:c>
      <x:c r="C30" s="179" t="n">
        <x:v>6231332</x:v>
      </x:c>
      <x:c r="D30" s="163" t="n">
        <x:f>C30/B30-1</x:f>
        <x:v>0.22039715338092325</x:v>
      </x:c>
      <x:c r="E30" s="154"/>
      <x:c r="F30" s="154"/>
      <x:c r="G30" s="154"/>
    </x:row>
    <x:row r="31">
      <x:c r="A31" s="154"/>
      <x:c r="B31" s="154"/>
      <x:c r="C31" s="154"/>
      <x:c r="D31" s="154"/>
      <x:c r="E31" s="154"/>
      <x:c r="F31" s="154"/>
      <x:c r="G31" s="154"/>
    </x:row>
    <x:row r="32" ht="38" customHeight="1">
      <x:c r="A32" s="182" t="str">
        <x:v>Decision: preserve the implementation but do not select it. Barrier stalls fell, but two-stage buffer reuse became coarser and instruction count increased, so end-to-end latency regressed on most shapes.</x:v>
      </x:c>
      <x:c r="B32" s="182"/>
      <x:c r="C32" s="182"/>
      <x:c r="D32" s="182"/>
      <x:c r="E32" s="182"/>
      <x:c r="F32" s="182"/>
      <x:c r="G32" s="182"/>
    </x:row>
  </x:sheetData>
  <x:mergeCells>
    <x:mergeCell ref="A1:G1"/>
    <x:mergeCell ref="A2:G2"/>
    <x:mergeCell ref="A19:D19"/>
    <x:mergeCell ref="A32:G32"/>
  </x:mergeCells>
  <x:conditionalFormatting sqref="F5:F16">
    <x:cfRule type="colorScale" priority="1">
      <x:colorScale>
        <x:cfvo type="min"/>
        <x:cfvo type="percentile" val="50"/>
        <x:cfvo type="max"/>
        <x:color rgb="FFF8B4B4"/>
        <x:color rgb="FFFEF3C7"/>
        <x:color rgb="FFB7EFC5"/>
      </x:colorScale>
    </x:cfRule>
  </x:conditionalFormatting>
  <x:conditionalFormatting sqref="G5:G16">
    <x:cfRule type="colorScale" priority="2">
      <x:colorScale>
        <x:cfvo type="min"/>
        <x:cfvo type="percentile" val="50"/>
        <x:cfvo type="max"/>
        <x:color rgb="FFB7EFC5"/>
        <x:color rgb="FFFEF3C7"/>
        <x:color rgb="FFF8B4B4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185" t="str">
        <x:v>64 x 64 Weight Block: TMA Pipeline Depth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</x:row>
    <x:row r="2" ht="24" customHeight="1">
      <x:c r="A2" s="188" t="str">
        <x:v>NVIDIA H20 | BF16 input/output | FP32 accumulation | stage count is the only kernel variable | L2 flush disabled | latency is the median of 3 runs</x:v>
      </x:c>
      <x:c r="B2" s="188"/>
      <x:c r="C2" s="188"/>
      <x:c r="D2" s="188"/>
      <x:c r="E2" s="188"/>
      <x:c r="F2" s="188"/>
      <x:c r="G2" s="188"/>
      <x:c r="H2" s="188"/>
      <x:c r="I2" s="188"/>
      <x:c r="J2" s="188"/>
      <x:c r="K2" s="188"/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</x:row>
    <x:row r="4" ht="42" customHeight="1">
      <x:c r="A4" s="195" t="str">
        <x:v>Shape (M x N x K)</x:v>
      </x:c>
      <x:c r="B4" s="195" t="str">
        <x:v>Stage 2 (us)</x:v>
      </x:c>
      <x:c r="C4" s="195" t="str">
        <x:v>Stage 3 (us)</x:v>
      </x:c>
      <x:c r="D4" s="195" t="str">
        <x:v>Stage 4 (us)</x:v>
      </x:c>
      <x:c r="E4" s="195" t="str">
        <x:v>Stage 5 (us)</x:v>
      </x:c>
      <x:c r="F4" s="195" t="str">
        <x:v>DeepGEMM (us)</x:v>
      </x:c>
      <x:c r="G4" s="195" t="str">
        <x:v>cuBLASLt (us)</x:v>
      </x:c>
      <x:c r="H4" s="195" t="str">
        <x:v>Best stage</x:v>
      </x:c>
      <x:c r="I4" s="195" t="str">
        <x:v>Best latency (us)</x:v>
      </x:c>
      <x:c r="J4" s="195" t="str">
        <x:v>Speedup vs Stage 2</x:v>
      </x:c>
      <x:c r="K4" s="195" t="str">
        <x:v>Speedup over DeepGEMM</x:v>
      </x:c>
    </x:row>
    <x:row r="5">
      <x:c r="A5" s="156" t="str">
        <x:v>128 x 1408 x 2048</x:v>
      </x:c>
      <x:c r="B5" s="157" t="n">
        <x:v>16.37</x:v>
      </x:c>
      <x:c r="C5" s="157" t="n">
        <x:v>16.03</x:v>
      </x:c>
      <x:c r="D5" s="157" t="n">
        <x:v>15.99</x:v>
      </x:c>
      <x:c r="E5" s="157" t="n">
        <x:v>15.39</x:v>
      </x:c>
      <x:c r="F5" s="157" t="n">
        <x:v>9.99</x:v>
      </x:c>
      <x:c r="G5" s="157" t="n">
        <x:v>8.23</x:v>
      </x:c>
      <x:c r="H5" s="200" t="str">
        <x:v>Stage 5</x:v>
      </x:c>
      <x:c r="I5" s="157" t="n">
        <x:f>MIN(B5:E5)</x:f>
        <x:v>15.39</x:v>
      </x:c>
      <x:c r="J5" s="158" t="n">
        <x:f>B5/I5</x:f>
        <x:v>1.06367771280052</x:v>
      </x:c>
      <x:c r="K5" s="158" t="n">
        <x:f>F5/I5</x:f>
        <x:v>0.6491228070175439</x:v>
      </x:c>
    </x:row>
    <x:row r="6">
      <x:c r="A6" s="156" t="str">
        <x:v>128 x 2048 x 1408</x:v>
      </x:c>
      <x:c r="B6" s="157" t="n">
        <x:v>11.17</x:v>
      </x:c>
      <x:c r="C6" s="157" t="n">
        <x:v>11.52</x:v>
      </x:c>
      <x:c r="D6" s="157" t="n">
        <x:v>11.59</x:v>
      </x:c>
      <x:c r="E6" s="157" t="n">
        <x:v>11.84</x:v>
      </x:c>
      <x:c r="F6" s="157" t="n">
        <x:v>9.31</x:v>
      </x:c>
      <x:c r="G6" s="157" t="n">
        <x:v>8.4</x:v>
      </x:c>
      <x:c r="H6" s="200" t="str">
        <x:v>Stage 2</x:v>
      </x:c>
      <x:c r="I6" s="157" t="n">
        <x:f>MIN(B6:E6)</x:f>
        <x:v>11.17</x:v>
      </x:c>
      <x:c r="J6" s="158" t="n">
        <x:f>B6/I6</x:f>
        <x:v>1</x:v>
      </x:c>
      <x:c r="K6" s="158" t="n">
        <x:f>F6/I6</x:f>
        <x:v>0.8334825425246196</x:v>
      </x:c>
    </x:row>
    <x:row r="7">
      <x:c r="A7" s="156" t="str">
        <x:v>256 x 1408 x 2048</x:v>
      </x:c>
      <x:c r="B7" s="157" t="n">
        <x:v>46.6</x:v>
      </x:c>
      <x:c r="C7" s="157" t="n">
        <x:v>46.91</x:v>
      </x:c>
      <x:c r="D7" s="157" t="n">
        <x:v>46.69</x:v>
      </x:c>
      <x:c r="E7" s="157" t="n">
        <x:v>46.59</x:v>
      </x:c>
      <x:c r="F7" s="157" t="n">
        <x:v>14.11</x:v>
      </x:c>
      <x:c r="G7" s="157" t="n">
        <x:v>13.94</x:v>
      </x:c>
      <x:c r="H7" s="200" t="str">
        <x:v>Stage 5</x:v>
      </x:c>
      <x:c r="I7" s="157" t="n">
        <x:f>MIN(B7:E7)</x:f>
        <x:v>46.59</x:v>
      </x:c>
      <x:c r="J7" s="158" t="n">
        <x:f>B7/I7</x:f>
        <x:v>1.0002146383344064</x:v>
      </x:c>
      <x:c r="K7" s="158" t="n">
        <x:f>F7/I7</x:f>
        <x:v>0.3028546898476068</x:v>
      </x:c>
    </x:row>
    <x:row r="8">
      <x:c r="A8" s="156" t="str">
        <x:v>256 x 2048 x 1408</x:v>
      </x:c>
      <x:c r="B8" s="157" t="n">
        <x:v>16.93</x:v>
      </x:c>
      <x:c r="C8" s="157" t="n">
        <x:v>17.17</x:v>
      </x:c>
      <x:c r="D8" s="157" t="n">
        <x:v>17.24</x:v>
      </x:c>
      <x:c r="E8" s="157" t="n">
        <x:v>17.4</x:v>
      </x:c>
      <x:c r="F8" s="157" t="n">
        <x:v>13.61</x:v>
      </x:c>
      <x:c r="G8" s="157" t="n">
        <x:v>13.48</x:v>
      </x:c>
      <x:c r="H8" s="200" t="str">
        <x:v>Stage 2</x:v>
      </x:c>
      <x:c r="I8" s="157" t="n">
        <x:f>MIN(B8:E8)</x:f>
        <x:v>16.93</x:v>
      </x:c>
      <x:c r="J8" s="158" t="n">
        <x:f>B8/I8</x:f>
        <x:v>1</x:v>
      </x:c>
      <x:c r="K8" s="158" t="n">
        <x:f>F8/I8</x:f>
        <x:v>0.8038984051978736</x:v>
      </x:c>
    </x:row>
    <x:row r="9">
      <x:c r="A9" s="156" t="str">
        <x:v>512 x 1408 x 2048</x:v>
      </x:c>
      <x:c r="B9" s="157" t="n">
        <x:v>54</x:v>
      </x:c>
      <x:c r="C9" s="157" t="n">
        <x:v>53.94</x:v>
      </x:c>
      <x:c r="D9" s="157" t="n">
        <x:v>89.33</x:v>
      </x:c>
      <x:c r="E9" s="157" t="n">
        <x:v>90.07</x:v>
      </x:c>
      <x:c r="F9" s="157" t="n">
        <x:v>50.06</x:v>
      </x:c>
      <x:c r="G9" s="157" t="n">
        <x:v>50.26</x:v>
      </x:c>
      <x:c r="H9" s="200" t="str">
        <x:v>Stage 3</x:v>
      </x:c>
      <x:c r="I9" s="157" t="n">
        <x:f>MIN(B9:E9)</x:f>
        <x:v>53.94</x:v>
      </x:c>
      <x:c r="J9" s="158" t="n">
        <x:f>B9/I9</x:f>
        <x:v>1.0011123470522802</x:v>
      </x:c>
      <x:c r="K9" s="158" t="n">
        <x:f>F9/I9</x:f>
        <x:v>0.92806822395254</x:v>
      </x:c>
    </x:row>
    <x:row r="10">
      <x:c r="A10" s="156" t="str">
        <x:v>512 x 2048 x 1408</x:v>
      </x:c>
      <x:c r="B10" s="157" t="n">
        <x:v>31.35</x:v>
      </x:c>
      <x:c r="C10" s="157" t="n">
        <x:v>30.97</x:v>
      </x:c>
      <x:c r="D10" s="157" t="n">
        <x:v>31.1</x:v>
      </x:c>
      <x:c r="E10" s="157" t="n">
        <x:v>31.12</x:v>
      </x:c>
      <x:c r="F10" s="157" t="n">
        <x:v>24.75</x:v>
      </x:c>
      <x:c r="G10" s="157" t="n">
        <x:v>24.71</x:v>
      </x:c>
      <x:c r="H10" s="200" t="str">
        <x:v>Stage 3</x:v>
      </x:c>
      <x:c r="I10" s="157" t="n">
        <x:f>MIN(B10:E10)</x:f>
        <x:v>30.97</x:v>
      </x:c>
      <x:c r="J10" s="158" t="n">
        <x:f>B10/I10</x:f>
        <x:v>1.012269938650307</x:v>
      </x:c>
      <x:c r="K10" s="158" t="n">
        <x:f>F10/I10</x:f>
        <x:v>0.7991604778818211</x:v>
      </x:c>
    </x:row>
    <x:row r="11">
      <x:c r="A11" s="156" t="str">
        <x:v>1024 x 1408 x 2048</x:v>
      </x:c>
      <x:c r="B11" s="157" t="n">
        <x:v>49.28</x:v>
      </x:c>
      <x:c r="C11" s="157" t="n">
        <x:v>48.83</x:v>
      </x:c>
      <x:c r="D11" s="157" t="n">
        <x:v>59.94</x:v>
      </x:c>
      <x:c r="E11" s="157" t="n">
        <x:v>59.93</x:v>
      </x:c>
      <x:c r="F11" s="157" t="n">
        <x:v>48.9</x:v>
      </x:c>
      <x:c r="G11" s="157" t="n">
        <x:v>48.88</x:v>
      </x:c>
      <x:c r="H11" s="200" t="str">
        <x:v>Stage 3</x:v>
      </x:c>
      <x:c r="I11" s="157" t="n">
        <x:f>MIN(B11:E11)</x:f>
        <x:v>48.83</x:v>
      </x:c>
      <x:c r="J11" s="158" t="n">
        <x:f>B11/I11</x:f>
        <x:v>1.009215646119189</x:v>
      </x:c>
      <x:c r="K11" s="158" t="n">
        <x:f>F11/I11</x:f>
        <x:v>1.0014335449518739</x:v>
      </x:c>
    </x:row>
    <x:row r="12">
      <x:c r="A12" s="156" t="str">
        <x:v>1024 x 2048 x 1408</x:v>
      </x:c>
      <x:c r="B12" s="157" t="n">
        <x:v>49.69</x:v>
      </x:c>
      <x:c r="C12" s="157" t="n">
        <x:v>49.45</x:v>
      </x:c>
      <x:c r="D12" s="157" t="n">
        <x:v>57.51</x:v>
      </x:c>
      <x:c r="E12" s="157" t="n">
        <x:v>57.86</x:v>
      </x:c>
      <x:c r="F12" s="157" t="n">
        <x:v>47.22</x:v>
      </x:c>
      <x:c r="G12" s="157" t="n">
        <x:v>46.4</x:v>
      </x:c>
      <x:c r="H12" s="200" t="str">
        <x:v>Stage 3</x:v>
      </x:c>
      <x:c r="I12" s="157" t="n">
        <x:f>MIN(B12:E12)</x:f>
        <x:v>49.45</x:v>
      </x:c>
      <x:c r="J12" s="158" t="n">
        <x:f>B12/I12</x:f>
        <x:v>1.0048533872598584</x:v>
      </x:c>
      <x:c r="K12" s="158" t="n">
        <x:f>F12/I12</x:f>
        <x:v>0.9549039433771486</x:v>
      </x:c>
    </x:row>
    <x:row r="13">
      <x:c r="A13" s="156" t="str">
        <x:v>2048 x 1408 x 2048</x:v>
      </x:c>
      <x:c r="B13" s="157" t="n">
        <x:v>91.94</x:v>
      </x:c>
      <x:c r="C13" s="157" t="n">
        <x:v>90.03</x:v>
      </x:c>
      <x:c r="D13" s="157" t="n">
        <x:v>117.48</x:v>
      </x:c>
      <x:c r="E13" s="157" t="n">
        <x:v>117.81</x:v>
      </x:c>
      <x:c r="F13" s="157" t="n">
        <x:v>94.76</x:v>
      </x:c>
      <x:c r="G13" s="157" t="n">
        <x:v>94.25</x:v>
      </x:c>
      <x:c r="H13" s="200" t="str">
        <x:v>Stage 3</x:v>
      </x:c>
      <x:c r="I13" s="157" t="n">
        <x:f>MIN(B13:E13)</x:f>
        <x:v>90.03</x:v>
      </x:c>
      <x:c r="J13" s="158" t="n">
        <x:f>B13/I13</x:f>
        <x:v>1.021215150505387</x:v>
      </x:c>
      <x:c r="K13" s="158" t="n">
        <x:f>F13/I13</x:f>
        <x:v>1.0525380428745974</x:v>
      </x:c>
    </x:row>
    <x:row r="14">
      <x:c r="A14" s="156" t="str">
        <x:v>2048 x 2048 x 1408</x:v>
      </x:c>
      <x:c r="B14" s="157" t="n">
        <x:v>90.18</x:v>
      </x:c>
      <x:c r="C14" s="157" t="n">
        <x:v>89.09</x:v>
      </x:c>
      <x:c r="D14" s="157" t="n">
        <x:v>117.8</x:v>
      </x:c>
      <x:c r="E14" s="157" t="n">
        <x:v>121.84</x:v>
      </x:c>
      <x:c r="F14" s="157" t="n">
        <x:v>92.34</x:v>
      </x:c>
      <x:c r="G14" s="157" t="n">
        <x:v>90.36</x:v>
      </x:c>
      <x:c r="H14" s="200" t="str">
        <x:v>Stage 3</x:v>
      </x:c>
      <x:c r="I14" s="157" t="n">
        <x:f>MIN(B14:E14)</x:f>
        <x:v>89.09</x:v>
      </x:c>
      <x:c r="J14" s="158" t="n">
        <x:f>B14/I14</x:f>
        <x:v>1.01223481872264</x:v>
      </x:c>
      <x:c r="K14" s="158" t="n">
        <x:f>F14/I14</x:f>
        <x:v>1.036479964081266</x:v>
      </x:c>
    </x:row>
    <x:row r="15">
      <x:c r="A15" s="156" t="str">
        <x:v>4096 x 1408 x 2048</x:v>
      </x:c>
      <x:c r="B15" s="157" t="n">
        <x:v>170.44</x:v>
      </x:c>
      <x:c r="C15" s="157" t="n">
        <x:v>166.66</x:v>
      </x:c>
      <x:c r="D15" s="157" t="n">
        <x:v>232.46</x:v>
      </x:c>
      <x:c r="E15" s="157" t="n">
        <x:v>233.05</x:v>
      </x:c>
      <x:c r="F15" s="157" t="n">
        <x:v>182.6</x:v>
      </x:c>
      <x:c r="G15" s="157" t="n">
        <x:v>185.57</x:v>
      </x:c>
      <x:c r="H15" s="200" t="str">
        <x:v>Stage 3</x:v>
      </x:c>
      <x:c r="I15" s="157" t="n">
        <x:f>MIN(B15:E15)</x:f>
        <x:v>166.66</x:v>
      </x:c>
      <x:c r="J15" s="158" t="n">
        <x:f>B15/I15</x:f>
        <x:v>1.0226809072362895</x:v>
      </x:c>
      <x:c r="K15" s="158" t="n">
        <x:f>F15/I15</x:f>
        <x:v>1.09564382575303</x:v>
      </x:c>
    </x:row>
    <x:row r="16">
      <x:c r="A16" s="160" t="str">
        <x:v>4096 x 2048 x 1408</x:v>
      </x:c>
      <x:c r="B16" s="161" t="n">
        <x:v>167.74</x:v>
      </x:c>
      <x:c r="C16" s="161" t="n">
        <x:v>163.84</x:v>
      </x:c>
      <x:c r="D16" s="161" t="n">
        <x:v>249.41</x:v>
      </x:c>
      <x:c r="E16" s="161" t="n">
        <x:v>250.5</x:v>
      </x:c>
      <x:c r="F16" s="161" t="n">
        <x:v>182.18</x:v>
      </x:c>
      <x:c r="G16" s="161" t="n">
        <x:v>175.72</x:v>
      </x:c>
      <x:c r="H16" s="201" t="str">
        <x:v>Stage 3</x:v>
      </x:c>
      <x:c r="I16" s="161" t="n">
        <x:f>MIN(B16:E16)</x:f>
        <x:v>163.84</x:v>
      </x:c>
      <x:c r="J16" s="162" t="n">
        <x:f>B16/I16</x:f>
        <x:v>1.0238037109375</x:v>
      </x:c>
      <x:c r="K16" s="162" t="n">
        <x:f>F16/I16</x:f>
        <x:v>1.1119384765625</x:v>
      </x:c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</x:row>
    <x:row r="19">
      <x:c r="A19" s="194" t="str">
        <x:v>NCU: M=1024, N=1408, K=2048</x:v>
      </x:c>
      <x:c r="B19" s="194"/>
      <x:c r="C19" s="194"/>
      <x:c r="D19" s="194"/>
      <x:c r="E19" s="194"/>
      <x:c r="F19" s="194"/>
      <x:c r="G19" s="194"/>
      <x:c r="H19" s="194"/>
      <x:c r="I19" s="194"/>
      <x:c r="J19" s="194"/>
      <x:c r="K19" s="194"/>
    </x:row>
    <x:row r="20">
      <x:c r="A20" s="195" t="str">
        <x:v>Metric</x:v>
      </x:c>
      <x:c r="B20" s="195" t="str">
        <x:v>Stage 2</x:v>
      </x:c>
      <x:c r="C20" s="195" t="str">
        <x:v>Stage 3</x:v>
      </x:c>
      <x:c r="D20" s="195" t="str">
        <x:v>Stage 4</x:v>
      </x:c>
      <x:c r="E20" s="195" t="str">
        <x:v>Stage 5</x:v>
      </x:c>
      <x:c r="F20" s="195" t="str">
        <x:v>Observation</x:v>
      </x:c>
      <x:c r="G20" s="195"/>
      <x:c r="H20" s="195"/>
      <x:c r="I20" s="195"/>
      <x:c r="J20" s="195"/>
      <x:c r="K20" s="195"/>
    </x:row>
    <x:row r="21">
      <x:c r="A21" s="156" t="str">
        <x:v>NCU duration (us)</x:v>
      </x:c>
      <x:c r="B21" s="157" t="n">
        <x:v>62.24</x:v>
      </x:c>
      <x:c r="C21" s="157" t="n">
        <x:v>60.93</x:v>
      </x:c>
      <x:c r="D21" s="157" t="n">
        <x:v>67.9</x:v>
      </x:c>
      <x:c r="E21" s="157" t="n">
        <x:v>68.32</x:v>
      </x:c>
      <x:c r="F21" s="156" t="str">
        <x:v>Stage 3 is 2.1% faster than Stage 2</x:v>
      </x:c>
      <x:c r="G21" s="156"/>
      <x:c r="H21" s="156"/>
      <x:c r="I21" s="156"/>
      <x:c r="J21" s="156"/>
      <x:c r="K21" s="156"/>
    </x:row>
    <x:row r="22">
      <x:c r="A22" s="156" t="str">
        <x:v>SM busy (%)</x:v>
      </x:c>
      <x:c r="B22" s="157" t="n">
        <x:v>68.91</x:v>
      </x:c>
      <x:c r="C22" s="157" t="n">
        <x:v>71.13</x:v>
      </x:c>
      <x:c r="D22" s="157" t="n">
        <x:v>65.56</x:v>
      </x:c>
      <x:c r="E22" s="157" t="n">
        <x:v>66.38</x:v>
      </x:c>
      <x:c r="F22" s="156" t="str">
        <x:v>Stage 3 has the highest SM activity</x:v>
      </x:c>
      <x:c r="G22" s="156"/>
      <x:c r="H22" s="156"/>
      <x:c r="I22" s="156"/>
      <x:c r="J22" s="156"/>
      <x:c r="K22" s="156"/>
    </x:row>
    <x:row r="23">
      <x:c r="A23" s="156" t="str">
        <x:v>Memory throughput (% peak)</x:v>
      </x:c>
      <x:c r="B23" s="157" t="n">
        <x:v>22.06</x:v>
      </x:c>
      <x:c r="C23" s="157" t="n">
        <x:v>22.94</x:v>
      </x:c>
      <x:c r="D23" s="157" t="n">
        <x:v>19.49</x:v>
      </x:c>
      <x:c r="E23" s="157" t="n">
        <x:v>18.27</x:v>
      </x:c>
      <x:c r="F23" s="156" t="str">
        <x:v>Deeper stages do not improve bandwidth use</x:v>
      </x:c>
      <x:c r="G23" s="156"/>
      <x:c r="H23" s="156"/>
      <x:c r="I23" s="156"/>
      <x:c r="J23" s="156"/>
      <x:c r="K23" s="156"/>
    </x:row>
    <x:row r="24">
      <x:c r="A24" s="156" t="str">
        <x:v>DRAM throughput (% peak)</x:v>
      </x:c>
      <x:c r="B24" s="157" t="n">
        <x:v>3.49</x:v>
      </x:c>
      <x:c r="C24" s="157" t="n">
        <x:v>3.56</x:v>
      </x:c>
      <x:c r="D24" s="157" t="n">
        <x:v>3.19</x:v>
      </x:c>
      <x:c r="E24" s="157" t="n">
        <x:v>3.18</x:v>
      </x:c>
      <x:c r="F24" s="156" t="str">
        <x:v>Kernel is not DRAM-bandwidth bound</x:v>
      </x:c>
      <x:c r="G24" s="156"/>
      <x:c r="H24" s="156"/>
      <x:c r="I24" s="156"/>
      <x:c r="J24" s="156"/>
      <x:c r="K24" s="156"/>
    </x:row>
    <x:row r="25">
      <x:c r="A25" s="156" t="str">
        <x:v>Eligible warps / scheduler</x:v>
      </x:c>
      <x:c r="B25" s="157" t="n">
        <x:v>0.28</x:v>
      </x:c>
      <x:c r="C25" s="157" t="n">
        <x:v>0.29</x:v>
      </x:c>
      <x:c r="D25" s="157" t="n">
        <x:v>0.24</x:v>
      </x:c>
      <x:c r="E25" s="157" t="n">
        <x:v>0.24</x:v>
      </x:c>
      <x:c r="F25" s="156" t="str">
        <x:v>Stage 4/5 expose less schedulable work</x:v>
      </x:c>
      <x:c r="G25" s="156"/>
      <x:c r="H25" s="156"/>
      <x:c r="I25" s="156"/>
      <x:c r="J25" s="156"/>
      <x:c r="K25" s="156"/>
    </x:row>
    <x:row r="26">
      <x:c r="A26" s="156" t="str">
        <x:v>Warp cycles / issued instruction</x:v>
      </x:c>
      <x:c r="B26" s="157" t="n">
        <x:v>24.13</x:v>
      </x:c>
      <x:c r="C26" s="157" t="n">
        <x:v>23.76</x:v>
      </x:c>
      <x:c r="D26" s="157" t="n">
        <x:v>19.62</x:v>
      </x:c>
      <x:c r="E26" s="157" t="n">
        <x:v>19.69</x:v>
      </x:c>
      <x:c r="F26" s="156" t="str">
        <x:v>Lower value does not offset reduced residency</x:v>
      </x:c>
      <x:c r="G26" s="156"/>
      <x:c r="H26" s="156"/>
      <x:c r="I26" s="156"/>
      <x:c r="J26" s="156"/>
      <x:c r="K26" s="156"/>
    </x:row>
    <x:row r="27">
      <x:c r="A27" s="156" t="str">
        <x:v>Registers / thread</x:v>
      </x:c>
      <x:c r="B27" s="157" t="n">
        <x:v>60</x:v>
      </x:c>
      <x:c r="C27" s="157" t="n">
        <x:v>60</x:v>
      </x:c>
      <x:c r="D27" s="157" t="n">
        <x:v>60</x:v>
      </x:c>
      <x:c r="E27" s="157" t="n">
        <x:v>60</x:v>
      </x:c>
      <x:c r="F27" s="156" t="str">
        <x:v>Register pressure is unchanged</x:v>
      </x:c>
      <x:c r="G27" s="156"/>
      <x:c r="H27" s="156"/>
      <x:c r="I27" s="156"/>
      <x:c r="J27" s="156"/>
      <x:c r="K27" s="156"/>
    </x:row>
    <x:row r="28">
      <x:c r="A28" s="156" t="str">
        <x:v>Dynamic shared memory (KB/CTA)</x:v>
      </x:c>
      <x:c r="B28" s="157" t="n">
        <x:v>50.18</x:v>
      </x:c>
      <x:c r="C28" s="157" t="n">
        <x:v>66.56</x:v>
      </x:c>
      <x:c r="D28" s="157" t="n">
        <x:v>82.94</x:v>
      </x:c>
      <x:c r="E28" s="157" t="n">
        <x:v>99.33</x:v>
      </x:c>
      <x:c r="F28" s="156" t="str">
        <x:v>Each extra stage costs about 16 KB</x:v>
      </x:c>
      <x:c r="G28" s="156"/>
      <x:c r="H28" s="156"/>
      <x:c r="I28" s="156"/>
      <x:c r="J28" s="156"/>
      <x:c r="K28" s="156"/>
    </x:row>
    <x:row r="29">
      <x:c r="A29" s="156" t="str">
        <x:v>Shared-memory block limit</x:v>
      </x:c>
      <x:c r="B29" s="157" t="n">
        <x:v>4</x:v>
      </x:c>
      <x:c r="C29" s="157" t="n">
        <x:v>3</x:v>
      </x:c>
      <x:c r="D29" s="157" t="n">
        <x:v>2</x:v>
      </x:c>
      <x:c r="E29" s="157" t="n">
        <x:v>2</x:v>
      </x:c>
      <x:c r="F29" s="156" t="str">
        <x:v>Stage 4 crosses the 2 CTA/SM threshold</x:v>
      </x:c>
      <x:c r="G29" s="156"/>
      <x:c r="H29" s="156"/>
      <x:c r="I29" s="156"/>
      <x:c r="J29" s="156"/>
      <x:c r="K29" s="156"/>
    </x:row>
    <x:row r="30">
      <x:c r="A30" s="156" t="str">
        <x:v>Theoretical occupancy (%)</x:v>
      </x:c>
      <x:c r="B30" s="157" t="n">
        <x:v>50</x:v>
      </x:c>
      <x:c r="C30" s="157" t="n">
        <x:v>37.5</x:v>
      </x:c>
      <x:c r="D30" s="157" t="n">
        <x:v>25</x:v>
      </x:c>
      <x:c r="E30" s="157" t="n">
        <x:v>25</x:v>
      </x:c>
      <x:c r="F30" s="156" t="str">
        <x:v>Pipeline depth reduces CTA residency</x:v>
      </x:c>
      <x:c r="G30" s="156"/>
      <x:c r="H30" s="156"/>
      <x:c r="I30" s="156"/>
      <x:c r="J30" s="156"/>
      <x:c r="K30" s="156"/>
    </x:row>
    <x:row r="31">
      <x:c r="A31" s="156" t="str">
        <x:v>Achieved occupancy (%)</x:v>
      </x:c>
      <x:c r="B31" s="157" t="n">
        <x:v>30.93</x:v>
      </x:c>
      <x:c r="C31" s="157" t="n">
        <x:v>31.31</x:v>
      </x:c>
      <x:c r="D31" s="157" t="n">
        <x:v>24.16</x:v>
      </x:c>
      <x:c r="E31" s="157" t="n">
        <x:v>24.41</x:v>
      </x:c>
      <x:c r="F31" s="156" t="str">
        <x:v>Stage 3 preserves measured occupancy</x:v>
      </x:c>
      <x:c r="G31" s="156"/>
      <x:c r="H31" s="156"/>
      <x:c r="I31" s="156"/>
      <x:c r="J31" s="156"/>
      <x:c r="K31" s="156"/>
    </x:row>
    <x:row r="32">
      <x:c r="A32" s="160" t="str">
        <x:v>CTA barrier stall (%)</x:v>
      </x:c>
      <x:c r="B32" s="161" t="n">
        <x:v>67.1</x:v>
      </x:c>
      <x:c r="C32" s="161" t="n">
        <x:v>67.7</x:v>
      </x:c>
      <x:c r="D32" s="161" t="n">
        <x:v>66.1</x:v>
      </x:c>
      <x:c r="E32" s="161" t="n">
        <x:v>67.5</x:v>
      </x:c>
      <x:c r="F32" s="160" t="str">
        <x:v>More stages do not remove the main stall</x:v>
      </x:c>
      <x:c r="G32" s="160"/>
      <x:c r="H32" s="160"/>
      <x:c r="I32" s="160"/>
      <x:c r="J32" s="160"/>
      <x:c r="K32" s="160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</x:row>
    <x:row r="35" ht="42" customHeight="1">
      <x:c r="A35" s="204" t="str">
        <x:v>Decision: select Stage 3 for the 64 x 64 weight-block kernel. It gives the best fixed-shape NCU latency while retaining 3 CTA/SM; Stage 4 and Stage 5 reduce theoretical occupancy to 25% and regress medium-to-large M latency.</x:v>
      </x:c>
      <x:c r="B35" s="204"/>
      <x:c r="C35" s="204"/>
      <x:c r="D35" s="204"/>
      <x:c r="E35" s="204"/>
      <x:c r="F35" s="204"/>
      <x:c r="G35" s="204"/>
      <x:c r="H35" s="204"/>
      <x:c r="I35" s="204"/>
      <x:c r="J35" s="204"/>
      <x:c r="K35" s="204"/>
    </x:row>
  </x:sheetData>
  <x:mergeCells>
    <x:mergeCell ref="A1:K1"/>
    <x:mergeCell ref="A2:K2"/>
    <x:mergeCell ref="A19:K19"/>
    <x:mergeCell ref="F20:K20"/>
    <x:mergeCell ref="F21:K21"/>
    <x:mergeCell ref="F22:K22"/>
    <x:mergeCell ref="F23:K23"/>
    <x:mergeCell ref="F24:K24"/>
    <x:mergeCell ref="F25:K25"/>
    <x:mergeCell ref="F26:K26"/>
    <x:mergeCell ref="F27:K27"/>
    <x:mergeCell ref="F28:K28"/>
    <x:mergeCell ref="F29:K29"/>
    <x:mergeCell ref="F30:K30"/>
    <x:mergeCell ref="F31:K31"/>
    <x:mergeCell ref="F32:K32"/>
    <x:mergeCell ref="A35:K35"/>
  </x:mergeCells>
  <x:conditionalFormatting sqref="J5:K16">
    <x:cfRule type="colorScale" priority="1">
      <x:colorScale>
        <x:cfvo type="min"/>
        <x:cfvo type="percentile" val="50"/>
        <x:cfvo type="max"/>
        <x:color rgb="FFF8B4B4"/>
        <x:color rgb="FFFEF3C7"/>
        <x:color rgb="FFB7EFC5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4" customHeight="1">
      <x:c r="A1" s="208" t="str">
        <x:v>Warpgroup Register Reallocation</x:v>
      </x:c>
      <x:c r="B1" s="208"/>
      <x:c r="C1" s="208"/>
      <x:c r="D1" s="208"/>
      <x:c r="E1" s="208"/>
      <x:c r="F1" s="208"/>
    </x:row>
    <x:row r="2" ht="24" customHeight="1">
      <x:c r="A2" s="211" t="str">
        <x:v>NVIDIA H20 | M=1024, N=1408, K=2048 | 64 x 64 weight block | Stage 3 TMA | producer=40 registers | math=128 registers</x:v>
      </x:c>
      <x:c r="B2" s="211"/>
      <x:c r="C2" s="211"/>
      <x:c r="D2" s="211"/>
      <x:c r="E2" s="211"/>
      <x:c r="F2" s="211"/>
    </x:row>
    <x:row r="3">
      <x:c r="A3" s="154"/>
      <x:c r="B3" s="154"/>
      <x:c r="C3" s="154"/>
      <x:c r="D3" s="154"/>
      <x:c r="E3" s="154"/>
      <x:c r="F3" s="154"/>
    </x:row>
    <x:row r="4">
      <x:c r="A4" s="218" t="str">
        <x:v>Summary</x:v>
      </x:c>
      <x:c r="B4" s="218" t="str">
        <x:v>Value</x:v>
      </x:c>
      <x:c r="C4" s="154"/>
      <x:c r="D4" s="154"/>
      <x:c r="E4" s="154"/>
      <x:c r="F4" s="154"/>
    </x:row>
    <x:row r="5">
      <x:c r="A5" s="156" t="str">
        <x:v>Stage 3 mean NCU duration (us)</x:v>
      </x:c>
      <x:c r="B5" s="157" t="n">
        <x:f>AVERAGE(B13,D13)</x:f>
        <x:v>62</x:v>
      </x:c>
      <x:c r="C5" s="154"/>
      <x:c r="D5" s="154"/>
      <x:c r="E5" s="154"/>
      <x:c r="F5" s="154"/>
    </x:row>
    <x:row r="6">
      <x:c r="A6" s="156" t="str">
        <x:v>Register-reallocation mean (us)</x:v>
      </x:c>
      <x:c r="B6" s="157" t="n">
        <x:f>AVERAGE(C13,E13)</x:f>
        <x:v>61.985</x:v>
      </x:c>
      <x:c r="C6" s="154"/>
      <x:c r="D6" s="154"/>
      <x:c r="E6" s="154"/>
      <x:c r="F6" s="154"/>
    </x:row>
    <x:row r="7">
      <x:c r="A7" s="156" t="str">
        <x:v>Latency change</x:v>
      </x:c>
      <x:c r="B7" s="223" t="n">
        <x:f>B6/B5-1</x:f>
        <x:v>-0.00024193548387096975</x:v>
      </x:c>
      <x:c r="C7" s="154"/>
      <x:c r="D7" s="154"/>
      <x:c r="E7" s="154"/>
      <x:c r="F7" s="154"/>
    </x:row>
    <x:row r="8">
      <x:c r="A8" s="160" t="str">
        <x:v>Decision</x:v>
      </x:c>
      <x:c r="B8" s="160" t="str">
        <x:v>Preserve implementation; do not select</x:v>
      </x:c>
      <x:c r="C8" s="154"/>
      <x:c r="D8" s="154"/>
      <x:c r="E8" s="154"/>
      <x:c r="F8" s="154"/>
    </x:row>
    <x:row r="9">
      <x:c r="A9" s="154"/>
      <x:c r="B9" s="154"/>
      <x:c r="C9" s="154"/>
      <x:c r="D9" s="154"/>
      <x:c r="E9" s="154"/>
      <x:c r="F9" s="154"/>
    </x:row>
    <x:row r="10">
      <x:c r="A10" s="154"/>
      <x:c r="B10" s="154"/>
      <x:c r="C10" s="154"/>
      <x:c r="D10" s="154"/>
      <x:c r="E10" s="154"/>
      <x:c r="F10" s="154"/>
    </x:row>
    <x:row r="11">
      <x:c r="A11" s="217" t="str">
        <x:v>Two Paired NCU Runs</x:v>
      </x:c>
      <x:c r="B11" s="217"/>
      <x:c r="C11" s="217"/>
      <x:c r="D11" s="217"/>
      <x:c r="E11" s="217"/>
      <x:c r="F11" s="217"/>
    </x:row>
    <x:row r="12" ht="36" customHeight="1">
      <x:c r="A12" s="218" t="str">
        <x:v>Metric</x:v>
      </x:c>
      <x:c r="B12" s="218" t="str">
        <x:v>Stage 3 R1</x:v>
      </x:c>
      <x:c r="C12" s="218" t="str">
        <x:v>Reg realloc R1</x:v>
      </x:c>
      <x:c r="D12" s="218" t="str">
        <x:v>Stage 3 R2</x:v>
      </x:c>
      <x:c r="E12" s="218" t="str">
        <x:v>Reg realloc R2</x:v>
      </x:c>
      <x:c r="F12" s="218" t="str">
        <x:v>Observation</x:v>
      </x:c>
    </x:row>
    <x:row r="13">
      <x:c r="A13" s="156" t="str">
        <x:v>Duration (us)</x:v>
      </x:c>
      <x:c r="B13" s="157" t="n">
        <x:v>62.27</x:v>
      </x:c>
      <x:c r="C13" s="157" t="n">
        <x:v>61.6</x:v>
      </x:c>
      <x:c r="D13" s="157" t="n">
        <x:v>61.73</x:v>
      </x:c>
      <x:c r="E13" s="157" t="n">
        <x:v>62.37</x:v>
      </x:c>
      <x:c r="F13" s="221" t="str">
        <x:v>The direction reverses between runs</x:v>
      </x:c>
    </x:row>
    <x:row r="14">
      <x:c r="A14" s="156" t="str">
        <x:v>SM busy (%)</x:v>
      </x:c>
      <x:c r="B14" s="157" t="n">
        <x:v>70.19</x:v>
      </x:c>
      <x:c r="C14" s="157" t="n">
        <x:v>68.62</x:v>
      </x:c>
      <x:c r="D14" s="157" t="n">
        <x:v>70.71</x:v>
      </x:c>
      <x:c r="E14" s="157" t="n">
        <x:v>69.17</x:v>
      </x:c>
      <x:c r="F14" s="221" t="str">
        <x:v>Reallocation is consistently lower</x:v>
      </x:c>
    </x:row>
    <x:row r="15">
      <x:c r="A15" s="156" t="str">
        <x:v>Eligible warps / scheduler</x:v>
      </x:c>
      <x:c r="B15" s="157" t="n">
        <x:v>0.29</x:v>
      </x:c>
      <x:c r="C15" s="157" t="n">
        <x:v>0.29</x:v>
      </x:c>
      <x:c r="D15" s="157" t="n">
        <x:v>0.29</x:v>
      </x:c>
      <x:c r="E15" s="157" t="n">
        <x:v>0.29</x:v>
      </x:c>
      <x:c r="F15" s="221" t="str">
        <x:v>No scheduler-level change</x:v>
      </x:c>
    </x:row>
    <x:row r="16">
      <x:c r="A16" s="156" t="str">
        <x:v>Warp cycles / issued instruction</x:v>
      </x:c>
      <x:c r="B16" s="157" t="n">
        <x:v>23.76</x:v>
      </x:c>
      <x:c r="C16" s="157" t="n">
        <x:v>24.43</x:v>
      </x:c>
      <x:c r="D16" s="157" t="n">
        <x:v>23.89</x:v>
      </x:c>
      <x:c r="E16" s="157" t="n">
        <x:v>24.37</x:v>
      </x:c>
      <x:c r="F16" s="221" t="str">
        <x:v>Reallocation is slightly higher</x:v>
      </x:c>
    </x:row>
    <x:row r="17">
      <x:c r="A17" s="156" t="str">
        <x:v>Registers / thread</x:v>
      </x:c>
      <x:c r="B17" s="157" t="n">
        <x:v>60</x:v>
      </x:c>
      <x:c r="C17" s="157" t="n">
        <x:v>60</x:v>
      </x:c>
      <x:c r="D17" s="157" t="n">
        <x:v>60</x:v>
      </x:c>
      <x:c r="E17" s="157" t="n">
        <x:v>60</x:v>
      </x:c>
      <x:c r="F17" s="221" t="str">
        <x:v>Math warpgroup does not use the larger budget</x:v>
      </x:c>
    </x:row>
    <x:row r="18">
      <x:c r="A18" s="156" t="str">
        <x:v>Dynamic shared memory (KB/CTA)</x:v>
      </x:c>
      <x:c r="B18" s="157" t="n">
        <x:v>66.56</x:v>
      </x:c>
      <x:c r="C18" s="157" t="n">
        <x:v>66.56</x:v>
      </x:c>
      <x:c r="D18" s="157" t="n">
        <x:v>66.56</x:v>
      </x:c>
      <x:c r="E18" s="157" t="n">
        <x:v>66.56</x:v>
      </x:c>
      <x:c r="F18" s="221" t="str">
        <x:v>Unchanged</x:v>
      </x:c>
    </x:row>
    <x:row r="19">
      <x:c r="A19" s="156" t="str">
        <x:v>Theoretical occupancy (%)</x:v>
      </x:c>
      <x:c r="B19" s="157" t="n">
        <x:v>37.5</x:v>
      </x:c>
      <x:c r="C19" s="157" t="n">
        <x:v>37.5</x:v>
      </x:c>
      <x:c r="D19" s="157" t="n">
        <x:v>37.5</x:v>
      </x:c>
      <x:c r="E19" s="157" t="n">
        <x:v>37.5</x:v>
      </x:c>
      <x:c r="F19" s="221" t="str">
        <x:v>Still limited to 3 CTA/SM by shared memory</x:v>
      </x:c>
    </x:row>
    <x:row r="20">
      <x:c r="A20" s="156" t="str">
        <x:v>Achieved occupancy (%)</x:v>
      </x:c>
      <x:c r="B20" s="157" t="n">
        <x:v>31.23</x:v>
      </x:c>
      <x:c r="C20" s="157" t="n">
        <x:v>31.34</x:v>
      </x:c>
      <x:c r="D20" s="157" t="n">
        <x:v>31.37</x:v>
      </x:c>
      <x:c r="E20" s="157" t="n">
        <x:v>31.34</x:v>
      </x:c>
      <x:c r="F20" s="221" t="str">
        <x:v>Effectively unchanged</x:v>
      </x:c>
    </x:row>
    <x:row r="21">
      <x:c r="A21" s="156" t="str">
        <x:v>CTA barrier stall (%)</x:v>
      </x:c>
      <x:c r="B21" s="157" t="n">
        <x:v>68.4</x:v>
      </x:c>
      <x:c r="C21" s="157" t="n">
        <x:v>68.1</x:v>
      </x:c>
      <x:c r="D21" s="157" t="n">
        <x:v>67.9</x:v>
      </x:c>
      <x:c r="E21" s="157" t="n">
        <x:v>67.3</x:v>
      </x:c>
      <x:c r="F21" s="221" t="str">
        <x:v>Main bottleneck remains</x:v>
      </x:c>
    </x:row>
    <x:row r="22">
      <x:c r="A22" s="160" t="str">
        <x:v>Local-memory spilling requests</x:v>
      </x:c>
      <x:c r="B22" s="161" t="n">
        <x:v>0</x:v>
      </x:c>
      <x:c r="C22" s="161" t="n">
        <x:v>0</x:v>
      </x:c>
      <x:c r="D22" s="161" t="n">
        <x:v>0</x:v>
      </x:c>
      <x:c r="E22" s="161" t="n">
        <x:v>0</x:v>
      </x:c>
      <x:c r="F22" s="222" t="str">
        <x:v>No producer spill</x:v>
      </x:c>
    </x:row>
    <x:row r="23">
      <x:c r="A23" s="154"/>
      <x:c r="B23" s="154"/>
      <x:c r="C23" s="154"/>
      <x:c r="D23" s="154"/>
      <x:c r="E23" s="154"/>
      <x:c r="F23" s="154"/>
    </x:row>
    <x:row r="24">
      <x:c r="A24" s="154"/>
      <x:c r="B24" s="154"/>
      <x:c r="C24" s="154"/>
      <x:c r="D24" s="154"/>
      <x:c r="E24" s="154"/>
      <x:c r="F24" s="154"/>
    </x:row>
    <x:row r="25" ht="52" customHeight="1">
      <x:c r="A25" s="226" t="str">
        <x:v>Decision: the setmaxnreg instructions are correct and do not introduce spills, but the kernel still compiles to 60 registers/thread. The two-run mean changes by less than 0.1%, so the implementation is retained for future larger-accumulator tiles and is not selected for the current 64 x 64 kernel.</x:v>
      </x:c>
      <x:c r="B25" s="226"/>
      <x:c r="C25" s="226"/>
      <x:c r="D25" s="226"/>
      <x:c r="E25" s="226"/>
      <x:c r="F25" s="226"/>
    </x:row>
    <x:row r="26">
      <x:c r="A26" s="154"/>
      <x:c r="B26" s="154"/>
      <x:c r="C26" s="154"/>
      <x:c r="D26" s="154"/>
      <x:c r="E26" s="154"/>
      <x:c r="F26" s="154"/>
    </x:row>
    <x:row r="27" ht="42" customHeight="1">
      <x:c r="A27" s="229" t="str">
        <x:v>Environment note: a separate process occupied about 4.5 GiB of GPU memory during the Kineto sweep and produced bimodal timings; those sweep numbers are archived as raw logs but excluded from the decision.</x:v>
      </x:c>
      <x:c r="B27" s="229"/>
      <x:c r="C27" s="229"/>
      <x:c r="D27" s="229"/>
      <x:c r="E27" s="229"/>
      <x:c r="F27" s="229"/>
    </x:row>
  </x:sheetData>
  <x:mergeCells>
    <x:mergeCell ref="A1:F1"/>
    <x:mergeCell ref="A2:F2"/>
    <x:mergeCell ref="A11:F11"/>
    <x:mergeCell ref="A25:F25"/>
    <x:mergeCell ref="A27:F27"/>
  </x:mergeCells>
  <x:conditionalFormatting sqref="B7:B7">
    <x:cfRule type="colorScale" priority="1">
      <x:colorScale>
        <x:cfvo type="min"/>
        <x:cfvo type="percentile" val="50"/>
        <x:cfvo type="max"/>
        <x:color rgb="FFB7EFC5"/>
        <x:color rgb="FFFEF3C7"/>
        <x:color rgb="FFF8B4B4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7" hidden="0" customWidth="1"/>
    <x:col min="4" max="4" width="18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4" customHeight="1">
      <x:c r="A1" s="300" t="str">
        <x:v>Hybrid Sparse Metadata Optimization</x:v>
      </x:c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</x:row>
    <x:row r="2" ht="24" customHeight="1">
      <x:c r="A2" s="301" t="str">
        <x:v>NVIDIA H20 | M x N x K = 1024 x 1408 x 2048 | NCU --set full | BF16 input/output | FP32 accumulation</x:v>
      </x:c>
      <x:c r="B2" s="301"/>
      <x:c r="C2" s="301"/>
      <x:c r="D2" s="301"/>
      <x:c r="E2" s="301"/>
      <x:c r="F2" s="301"/>
      <x:c r="G2" s="301"/>
      <x:c r="H2" s="301"/>
      <x:c r="I2" s="301"/>
      <x:c r="J2" s="301"/>
      <x:c r="K2" s="301"/>
      <x:c r="L2" s="301"/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</x:row>
    <x:row r="4" ht="32" customHeight="1">
      <x:c r="A4" s="302" t="str">
        <x:v>Version</x:v>
      </x:c>
      <x:c r="B4" s="302" t="str">
        <x:v>Metadata path</x:v>
      </x:c>
      <x:c r="C4" s="302" t="str">
        <x:v>Epilogue overlap</x:v>
      </x:c>
      <x:c r="D4" s="302" t="str">
        <x:v>NCU latency (us)</x:v>
      </x:c>
      <x:c r="E4" s="302" t="str">
        <x:v>Speedup vs Stage 3</x:v>
      </x:c>
      <x:c r="F4" s="302" t="str">
        <x:v>Barrier stall</x:v>
      </x:c>
      <x:c r="G4" s="302" t="str">
        <x:v>Long scoreboard</x:v>
      </x:c>
      <x:c r="H4" s="302" t="str">
        <x:v>Eligible warps</x:v>
      </x:c>
      <x:c r="I4" s="302" t="str">
        <x:v>Executed instructions</x:v>
      </x:c>
      <x:c r="J4" s="302" t="str">
        <x:v>Registers / thread</x:v>
      </x:c>
      <x:c r="K4" s="302" t="str">
        <x:v>Dynamic smem (KB)</x:v>
      </x:c>
      <x:c r="L4" s="302" t="str">
        <x:v>Tensor pipe active</x:v>
      </x:c>
    </x:row>
    <x:row r="5">
      <x:c r="A5" s="303" t="str">
        <x:v>Stage 3</x:v>
      </x:c>
      <x:c r="B5" s="304" t="str">
        <x:v>Block-row shared staging</x:v>
      </x:c>
      <x:c r="C5" s="304" t="str">
        <x:v>No</x:v>
      </x:c>
      <x:c r="D5" s="305" t="n">
        <x:v>61.6</x:v>
      </x:c>
      <x:c r="E5" s="306" t="n">
        <x:f>$D$5/D5</x:f>
        <x:v>1</x:v>
      </x:c>
      <x:c r="F5" s="305" t="n">
        <x:v>16.094</x:v>
      </x:c>
      <x:c r="G5" s="305" t="n">
        <x:v>1.693</x:v>
      </x:c>
      <x:c r="H5" s="305" t="n">
        <x:v>0.29</x:v>
      </x:c>
      <x:c r="I5" s="307" t="n">
        <x:v>5099990</x:v>
      </x:c>
      <x:c r="J5" s="308" t="n">
        <x:v>60</x:v>
      </x:c>
      <x:c r="K5" s="305" t="n">
        <x:v>66.56</x:v>
      </x:c>
      <x:c r="L5" s="309" t="n">
        <x:v>0.15278</x:v>
      </x:c>
    </x:row>
    <x:row r="6">
      <x:c r="A6" s="310" t="str">
        <x:v>Direct metadata</x:v>
      </x:c>
      <x:c r="B6" s="311" t="str">
        <x:v>Math warp global load</x:v>
      </x:c>
      <x:c r="C6" s="311" t="str">
        <x:v>No</x:v>
      </x:c>
      <x:c r="D6" s="312" t="n">
        <x:v>61.44</x:v>
      </x:c>
      <x:c r="E6" s="313" t="n">
        <x:f>$D$5/D6</x:f>
        <x:v>1.0026041666666667</x:v>
      </x:c>
      <x:c r="F6" s="312" t="n">
        <x:v>16.053</x:v>
      </x:c>
      <x:c r="G6" s="312" t="n">
        <x:v>2.879</x:v>
      </x:c>
      <x:c r="H6" s="312" t="n">
        <x:v>0.25</x:v>
      </x:c>
      <x:c r="I6" s="314" t="n">
        <x:v>4981946</x:v>
      </x:c>
      <x:c r="J6" s="315" t="n">
        <x:v>63</x:v>
      </x:c>
      <x:c r="K6" s="312" t="n">
        <x:v>58.368</x:v>
      </x:c>
      <x:c r="L6" s="316" t="n">
        <x:v>0.14541</x:v>
      </x:c>
    </x:row>
    <x:row r="7">
      <x:c r="A7" s="310" t="str">
        <x:v>Epilogue overlap</x:v>
      </x:c>
      <x:c r="B7" s="311" t="str">
        <x:v>Math warp global load</x:v>
      </x:c>
      <x:c r="C7" s="311" t="str">
        <x:v>Yes</x:v>
      </x:c>
      <x:c r="D7" s="312" t="n">
        <x:v>61.28</x:v>
      </x:c>
      <x:c r="E7" s="313" t="n">
        <x:f>$D$5/D7</x:f>
        <x:v>1.0052219321148825</x:v>
      </x:c>
      <x:c r="F7" s="312" t="n">
        <x:v>7.033</x:v>
      </x:c>
      <x:c r="G7" s="312" t="n">
        <x:v>3.768</x:v>
      </x:c>
      <x:c r="H7" s="312" t="n">
        <x:v>0.247</x:v>
      </x:c>
      <x:c r="I7" s="314" t="n">
        <x:v>4917475</x:v>
      </x:c>
      <x:c r="J7" s="315" t="n">
        <x:v>64</x:v>
      </x:c>
      <x:c r="K7" s="312" t="n">
        <x:v>58.368</x:v>
      </x:c>
      <x:c r="L7" s="316" t="n">
        <x:v>0.1461</x:v>
      </x:c>
    </x:row>
    <x:row r="8">
      <x:c r="A8" s="310" t="str">
        <x:v>Register prefetch</x:v>
      </x:c>
      <x:c r="B8" s="311" t="str">
        <x:v>Math warp register prefetch</x:v>
      </x:c>
      <x:c r="C8" s="311" t="str">
        <x:v>Yes</x:v>
      </x:c>
      <x:c r="D8" s="312" t="n">
        <x:v>61.632</x:v>
      </x:c>
      <x:c r="E8" s="313" t="n">
        <x:f>$D$5/D8</x:f>
        <x:v>0.9994807892004154</x:v>
      </x:c>
      <x:c r="F8" s="312" t="n">
        <x:v>6.743</x:v>
      </x:c>
      <x:c r="G8" s="312" t="n">
        <x:v>3.598</x:v>
      </x:c>
      <x:c r="H8" s="312" t="n">
        <x:v>0.259</x:v>
      </x:c>
      <x:c r="I8" s="314" t="n">
        <x:v>5189006</x:v>
      </x:c>
      <x:c r="J8" s="315" t="n">
        <x:v>64</x:v>
      </x:c>
      <x:c r="K8" s="312" t="n">
        <x:v>58.368</x:v>
      </x:c>
      <x:c r="L8" s="316" t="n">
        <x:v>0.14645</x:v>
      </x:c>
    </x:row>
    <x:row r="9">
      <x:c r="A9" s="310" t="str">
        <x:v>Stage-local TMA</x:v>
      </x:c>
      <x:c r="B9" s="311" t="str">
        <x:v>Extra 512 B TMA per sparse block</x:v>
      </x:c>
      <x:c r="C9" s="311" t="str">
        <x:v>Yes</x:v>
      </x:c>
      <x:c r="D9" s="312" t="n">
        <x:v>62.048</x:v>
      </x:c>
      <x:c r="E9" s="313" t="n">
        <x:f>$D$5/D9</x:f>
        <x:v>0.9927797833935018</x:v>
      </x:c>
      <x:c r="F9" s="312" t="n">
        <x:v>8.171</x:v>
      </x:c>
      <x:c r="G9" s="312" t="n">
        <x:v>2.362</x:v>
      </x:c>
      <x:c r="H9" s="312" t="n">
        <x:v>0.271</x:v>
      </x:c>
      <x:c r="I9" s="314" t="n">
        <x:v>4762508</x:v>
      </x:c>
      <x:c r="J9" s="315" t="n">
        <x:v>60</x:v>
      </x:c>
      <x:c r="K9" s="312" t="n">
        <x:v>59.392</x:v>
      </x:c>
      <x:c r="L9" s="316" t="n">
        <x:v>0.15506</x:v>
      </x:c>
    </x:row>
    <x:row r="10">
      <x:c r="A10" s="317" t="str">
        <x:v>Producer warp copy</x:v>
      </x:c>
      <x:c r="B10" s="318" t="str">
        <x:v>Coalesced 512 B vector copy</x:v>
      </x:c>
      <x:c r="C10" s="318" t="str">
        <x:v>Yes</x:v>
      </x:c>
      <x:c r="D10" s="319" t="n">
        <x:v>59.872</x:v>
      </x:c>
      <x:c r="E10" s="320" t="n">
        <x:f>$D$5/D10</x:f>
        <x:v>1.028861571352218</x:v>
      </x:c>
      <x:c r="F10" s="319" t="n">
        <x:v>7.332</x:v>
      </x:c>
      <x:c r="G10" s="319" t="n">
        <x:v>1.517</x:v>
      </x:c>
      <x:c r="H10" s="319" t="n">
        <x:v>0.275</x:v>
      </x:c>
      <x:c r="I10" s="321" t="n">
        <x:v>5204709</x:v>
      </x:c>
      <x:c r="J10" s="322" t="n">
        <x:v>60</x:v>
      </x:c>
      <x:c r="K10" s="319" t="n">
        <x:v>59.392</x:v>
      </x:c>
      <x:c r="L10" s="323" t="n">
        <x:v>0.15525</x:v>
      </x:c>
    </x:row>
    <x:row r="11">
      <x:c r="A11" s="154"/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</x:row>
    <x:row r="12">
      <x:c r="A12" s="154"/>
      <x:c r="B12" s="154"/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</x:row>
    <x:row r="13" ht="26" customHeight="1">
      <x:c r="A13" s="324" t="str">
        <x:v>Current Best: Producer-Warp Metadata Copy</x:v>
      </x:c>
      <x:c r="B13" s="324"/>
      <x:c r="C13" s="324"/>
      <x:c r="D13" s="324"/>
      <x:c r="E13" s="324"/>
      <x:c r="F13" s="154"/>
      <x:c r="G13" s="154"/>
      <x:c r="H13" s="154"/>
      <x:c r="I13" s="154"/>
      <x:c r="J13" s="154"/>
      <x:c r="K13" s="154"/>
      <x:c r="L13" s="154"/>
    </x:row>
    <x:row r="14" ht="32" customHeight="1">
      <x:c r="A14" s="302" t="str">
        <x:v>Shape (M x N x K)</x:v>
      </x:c>
      <x:c r="B14" s="302" t="str">
        <x:v>Kernel latency (us)</x:v>
      </x:c>
      <x:c r="C14" s="302" t="str">
        <x:v>DeepGEMM latency (us)</x:v>
      </x:c>
      <x:c r="D14" s="302" t="str">
        <x:v>Speedup over DeepGEMM</x:v>
      </x:c>
      <x:c r="E14" s="302" t="str">
        <x:v>Result</x:v>
      </x:c>
      <x:c r="F14" s="154"/>
      <x:c r="G14" s="154"/>
      <x:c r="H14" s="154"/>
      <x:c r="I14" s="154"/>
      <x:c r="J14" s="154"/>
      <x:c r="K14" s="154"/>
      <x:c r="L14" s="154"/>
    </x:row>
    <x:row r="15">
      <x:c r="A15" s="325" t="str">
        <x:v>128 x 1408 x 2048</x:v>
      </x:c>
      <x:c r="B15" s="326" t="n">
        <x:v>16.32</x:v>
      </x:c>
      <x:c r="C15" s="326" t="n">
        <x:v>10.64</x:v>
      </x:c>
      <x:c r="D15" s="327" t="n">
        <x:f>C15/B15</x:f>
        <x:v>0.6519607843137255</x:v>
      </x:c>
      <x:c r="E15" s="328" t="str">
        <x:f>IF(D15&gt;=1.25,"Target met",IF(D15&gt;=1,"Faster","Slower"))</x:f>
        <x:v>Slower</x:v>
      </x:c>
      <x:c r="F15" s="154"/>
      <x:c r="G15" s="154"/>
      <x:c r="H15" s="154"/>
      <x:c r="I15" s="154"/>
      <x:c r="J15" s="154"/>
      <x:c r="K15" s="154"/>
      <x:c r="L15" s="154"/>
    </x:row>
    <x:row r="16">
      <x:c r="A16" s="329" t="str">
        <x:v>128 x 2048 x 1408</x:v>
      </x:c>
      <x:c r="B16" s="330" t="n">
        <x:v>11.61</x:v>
      </x:c>
      <x:c r="C16" s="330" t="n">
        <x:v>9.18</x:v>
      </x:c>
      <x:c r="D16" s="313" t="n">
        <x:f>C16/B16</x:f>
        <x:v>0.7906976744186046</x:v>
      </x:c>
      <x:c r="E16" s="331" t="str">
        <x:f>IF(D16&gt;=1.25,"Target met",IF(D16&gt;=1,"Faster","Slower"))</x:f>
        <x:v>Slower</x:v>
      </x:c>
      <x:c r="F16" s="154"/>
      <x:c r="G16" s="154"/>
      <x:c r="H16" s="154"/>
      <x:c r="I16" s="154"/>
      <x:c r="J16" s="154"/>
      <x:c r="K16" s="154"/>
      <x:c r="L16" s="154"/>
    </x:row>
    <x:row r="17">
      <x:c r="A17" s="329" t="str">
        <x:v>256 x 1408 x 2048</x:v>
      </x:c>
      <x:c r="B17" s="330" t="n">
        <x:v>47.04</x:v>
      </x:c>
      <x:c r="C17" s="330" t="n">
        <x:v>14.68</x:v>
      </x:c>
      <x:c r="D17" s="313" t="n">
        <x:f>C17/B17</x:f>
        <x:v>0.3120748299319728</x:v>
      </x:c>
      <x:c r="E17" s="331" t="str">
        <x:f>IF(D17&gt;=1.25,"Target met",IF(D17&gt;=1,"Faster","Slower"))</x:f>
        <x:v>Slower</x:v>
      </x:c>
      <x:c r="F17" s="154"/>
      <x:c r="G17" s="154"/>
      <x:c r="H17" s="154"/>
      <x:c r="I17" s="154"/>
      <x:c r="J17" s="154"/>
      <x:c r="K17" s="154"/>
      <x:c r="L17" s="154"/>
    </x:row>
    <x:row r="18">
      <x:c r="A18" s="329" t="str">
        <x:v>256 x 2048 x 1408</x:v>
      </x:c>
      <x:c r="B18" s="330" t="n">
        <x:v>16.45</x:v>
      </x:c>
      <x:c r="C18" s="330" t="n">
        <x:v>13.97</x:v>
      </x:c>
      <x:c r="D18" s="313" t="n">
        <x:f>C18/B18</x:f>
        <x:v>0.8492401215805472</x:v>
      </x:c>
      <x:c r="E18" s="331" t="str">
        <x:f>IF(D18&gt;=1.25,"Target met",IF(D18&gt;=1,"Faster","Slower"))</x:f>
        <x:v>Slower</x:v>
      </x:c>
      <x:c r="F18" s="154"/>
      <x:c r="G18" s="154"/>
      <x:c r="H18" s="154"/>
      <x:c r="I18" s="154"/>
      <x:c r="J18" s="154"/>
      <x:c r="K18" s="154"/>
      <x:c r="L18" s="154"/>
    </x:row>
    <x:row r="19">
      <x:c r="A19" s="329" t="str">
        <x:v>512 x 1408 x 2048</x:v>
      </x:c>
      <x:c r="B19" s="330" t="n">
        <x:v>53.85</x:v>
      </x:c>
      <x:c r="C19" s="330" t="n">
        <x:v>50.34</x:v>
      </x:c>
      <x:c r="D19" s="313" t="n">
        <x:f>C19/B19</x:f>
        <x:v>0.9348189415041783</x:v>
      </x:c>
      <x:c r="E19" s="331" t="str">
        <x:f>IF(D19&gt;=1.25,"Target met",IF(D19&gt;=1,"Faster","Slower"))</x:f>
        <x:v>Slower</x:v>
      </x:c>
      <x:c r="F19" s="154"/>
      <x:c r="G19" s="154"/>
      <x:c r="H19" s="154"/>
      <x:c r="I19" s="154"/>
      <x:c r="J19" s="154"/>
      <x:c r="K19" s="154"/>
      <x:c r="L19" s="154"/>
    </x:row>
    <x:row r="20">
      <x:c r="A20" s="329" t="str">
        <x:v>512 x 2048 x 1408</x:v>
      </x:c>
      <x:c r="B20" s="330" t="n">
        <x:v>55.67</x:v>
      </x:c>
      <x:c r="C20" s="330" t="n">
        <x:v>27.27</x:v>
      </x:c>
      <x:c r="D20" s="313" t="n">
        <x:f>C20/B20</x:f>
        <x:v>0.48985090713130947</x:v>
      </x:c>
      <x:c r="E20" s="331" t="str">
        <x:f>IF(D20&gt;=1.25,"Target met",IF(D20&gt;=1,"Faster","Slower"))</x:f>
        <x:v>Slower</x:v>
      </x:c>
      <x:c r="F20" s="154"/>
      <x:c r="G20" s="154"/>
      <x:c r="H20" s="154"/>
      <x:c r="I20" s="154"/>
      <x:c r="J20" s="154"/>
      <x:c r="K20" s="154"/>
      <x:c r="L20" s="154"/>
    </x:row>
    <x:row r="21">
      <x:c r="A21" s="329" t="str">
        <x:v>1024 x 1408 x 2048</x:v>
      </x:c>
      <x:c r="B21" s="330" t="n">
        <x:v>97.34</x:v>
      </x:c>
      <x:c r="C21" s="330" t="n">
        <x:v>98.38</x:v>
      </x:c>
      <x:c r="D21" s="313" t="n">
        <x:f>C21/B21</x:f>
        <x:v>1.0106841997123484</x:v>
      </x:c>
      <x:c r="E21" s="331" t="str">
        <x:f>IF(D21&gt;=1.25,"Target met",IF(D21&gt;=1,"Faster","Slower"))</x:f>
        <x:v>Faster</x:v>
      </x:c>
      <x:c r="F21" s="154"/>
      <x:c r="G21" s="154"/>
      <x:c r="H21" s="154"/>
      <x:c r="I21" s="154"/>
      <x:c r="J21" s="154"/>
      <x:c r="K21" s="154"/>
      <x:c r="L21" s="154"/>
    </x:row>
    <x:row r="22">
      <x:c r="A22" s="329" t="str">
        <x:v>1024 x 2048 x 1408</x:v>
      </x:c>
      <x:c r="B22" s="330" t="n">
        <x:v>97.09</x:v>
      </x:c>
      <x:c r="C22" s="330" t="n">
        <x:v>97.88</x:v>
      </x:c>
      <x:c r="D22" s="313" t="n">
        <x:f>C22/B22</x:f>
        <x:v>1.0081367803069317</x:v>
      </x:c>
      <x:c r="E22" s="331" t="str">
        <x:f>IF(D22&gt;=1.25,"Target met",IF(D22&gt;=1,"Faster","Slower"))</x:f>
        <x:v>Faster</x:v>
      </x:c>
      <x:c r="F22" s="154"/>
      <x:c r="G22" s="154"/>
      <x:c r="H22" s="154"/>
      <x:c r="I22" s="154"/>
      <x:c r="J22" s="154"/>
      <x:c r="K22" s="154"/>
      <x:c r="L22" s="154"/>
    </x:row>
    <x:row r="23">
      <x:c r="A23" s="329" t="str">
        <x:v>2048 x 1408 x 2048</x:v>
      </x:c>
      <x:c r="B23" s="330" t="n">
        <x:v>164.67</x:v>
      </x:c>
      <x:c r="C23" s="330" t="n">
        <x:v>194.35</x:v>
      </x:c>
      <x:c r="D23" s="313" t="n">
        <x:f>C23/B23</x:f>
        <x:v>1.1802392664116113</x:v>
      </x:c>
      <x:c r="E23" s="331" t="str">
        <x:f>IF(D23&gt;=1.25,"Target met",IF(D23&gt;=1,"Faster","Slower"))</x:f>
        <x:v>Faster</x:v>
      </x:c>
      <x:c r="F23" s="154"/>
      <x:c r="G23" s="154"/>
      <x:c r="H23" s="154"/>
      <x:c r="I23" s="154"/>
      <x:c r="J23" s="154"/>
      <x:c r="K23" s="154"/>
      <x:c r="L23" s="154"/>
    </x:row>
    <x:row r="24">
      <x:c r="A24" s="329" t="str">
        <x:v>2048 x 2048 x 1408</x:v>
      </x:c>
      <x:c r="B24" s="330" t="n">
        <x:v>148.14</x:v>
      </x:c>
      <x:c r="C24" s="330" t="n">
        <x:v>93.4</x:v>
      </x:c>
      <x:c r="D24" s="313" t="n">
        <x:f>C24/B24</x:f>
        <x:v>0.6304846766572162</x:v>
      </x:c>
      <x:c r="E24" s="331" t="str">
        <x:f>IF(D24&gt;=1.25,"Target met",IF(D24&gt;=1,"Faster","Slower"))</x:f>
        <x:v>Slower</x:v>
      </x:c>
      <x:c r="F24" s="154"/>
      <x:c r="G24" s="154"/>
      <x:c r="H24" s="154"/>
      <x:c r="I24" s="154"/>
      <x:c r="J24" s="154"/>
      <x:c r="K24" s="154"/>
      <x:c r="L24" s="154"/>
    </x:row>
    <x:row r="25">
      <x:c r="A25" s="329" t="str">
        <x:v>4096 x 1408 x 2048</x:v>
      </x:c>
      <x:c r="B25" s="330" t="n">
        <x:v>169.82</x:v>
      </x:c>
      <x:c r="C25" s="330" t="n">
        <x:v>184.31</x:v>
      </x:c>
      <x:c r="D25" s="313" t="n">
        <x:f>C25/B25</x:f>
        <x:v>1.085325638911789</x:v>
      </x:c>
      <x:c r="E25" s="331" t="str">
        <x:f>IF(D25&gt;=1.25,"Target met",IF(D25&gt;=1,"Faster","Slower"))</x:f>
        <x:v>Faster</x:v>
      </x:c>
      <x:c r="F25" s="154"/>
      <x:c r="G25" s="154"/>
      <x:c r="H25" s="154"/>
      <x:c r="I25" s="154"/>
      <x:c r="J25" s="154"/>
      <x:c r="K25" s="154"/>
      <x:c r="L25" s="154"/>
    </x:row>
    <x:row r="26">
      <x:c r="A26" s="332" t="str">
        <x:v>4096 x 2048 x 1408</x:v>
      </x:c>
      <x:c r="B26" s="333" t="n">
        <x:v>159.7</x:v>
      </x:c>
      <x:c r="C26" s="333" t="n">
        <x:v>182.25</x:v>
      </x:c>
      <x:c r="D26" s="334" t="n">
        <x:f>C26/B26</x:f>
        <x:v>1.141202254226675</x:v>
      </x:c>
      <x:c r="E26" s="335" t="str">
        <x:f>IF(D26&gt;=1.25,"Target met",IF(D26&gt;=1,"Faster","Slower"))</x:f>
        <x:v>Faster</x:v>
      </x:c>
      <x:c r="F26" s="154"/>
      <x:c r="G26" s="154"/>
      <x:c r="H26" s="154"/>
      <x:c r="I26" s="154"/>
      <x:c r="J26" s="154"/>
      <x:c r="K26" s="154"/>
      <x:c r="L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</x:row>
    <x:row r="29" ht="34" customHeight="1">
      <x:c r="A29" s="336" t="str">
        <x:v>Benchmark note: all eight GPUs had substantial external load. Use paired rows and NCU deltas for iteration decisions; the 1.25x DeepGEMM target is not yet verified.</x:v>
      </x:c>
      <x:c r="B29" s="336"/>
      <x:c r="C29" s="336"/>
      <x:c r="D29" s="336"/>
      <x:c r="E29" s="336"/>
      <x:c r="F29" s="336"/>
      <x:c r="G29" s="336"/>
      <x:c r="H29" s="336"/>
      <x:c r="I29" s="336"/>
      <x:c r="J29" s="336"/>
      <x:c r="K29" s="336"/>
      <x:c r="L29" s="336"/>
    </x:row>
  </x:sheetData>
  <x:mergeCells>
    <x:mergeCell ref="A1:L1"/>
    <x:mergeCell ref="A2:L2"/>
    <x:mergeCell ref="A13:E13"/>
    <x:mergeCell ref="A29:L29"/>
  </x:mergeCells>
  <x:conditionalFormatting sqref="E5:E10">
    <x:cfRule type="colorScale" priority="1">
      <x:colorScale>
        <x:cfvo type="min"/>
        <x:cfvo type="percentile" val="50"/>
        <x:cfvo type="max"/>
        <x:color rgb="FFF8C4C4"/>
        <x:color rgb="FFFFF0BF"/>
        <x:color rgb="FFB9EFCB"/>
      </x:colorScale>
    </x:cfRule>
  </x:conditionalFormatting>
  <x:conditionalFormatting sqref="D15:D26">
    <x:cfRule type="colorScale" priority="2">
      <x:colorScale>
        <x:cfvo type="min"/>
        <x:cfvo type="percentile" val="50"/>
        <x:cfvo type="max"/>
        <x:color rgb="FFF8C4C4"/>
        <x:color rgb="FFFFF0BF"/>
        <x:color rgb="FFB9EFCB"/>
      </x:colorScale>
    </x:cfRule>
  </x:conditionalFormatting>
  <x:conditionalFormatting sqref="E15:E26">
    <x:cfRule type="containsText" dxfId="1" priority="3" operator="containsText" text="Faster"/>
    <x:cfRule type="containsText" dxfId="2" priority="4" operator="containsText" text="Slower"/>
  </x:conditionalFormatting>
  <x:pageMargins left="0.7" right="0.7" top="0.75" bottom="0.75" header="0.3" footer="0.3"/>
</x:worksheet>
</file>