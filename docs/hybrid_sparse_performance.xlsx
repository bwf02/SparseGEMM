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26671aab814d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2ac6e7c8dac0468b"/>
    <x:sheet xmlns:r="http://schemas.openxmlformats.org/officeDocument/2006/relationships" name="Accuracy" sheetId="2" r:id="R24be52d7fa6c41f1"/>
    <x:sheet xmlns:r="http://schemas.openxmlformats.org/officeDocument/2006/relationships" name="Persistent LaneReady" sheetId="3" r:id="R3854ac69b6034ff3"/>
    <x:sheet xmlns:r="http://schemas.openxmlformats.org/officeDocument/2006/relationships" name="cuBLAS Baseline" sheetId="4" r:id="R17b5426181de47a0"/>
    <x:sheet xmlns:r="http://schemas.openxmlformats.org/officeDocument/2006/relationships" name="128x32 Stage3" sheetId="5" r:id="R5556738061c7489a"/>
    <x:sheet xmlns:r="http://schemas.openxmlformats.org/officeDocument/2006/relationships" name="Merge K2" sheetId="6" r:id="R83932728bde9483c"/>
    <x:sheet xmlns:r="http://schemas.openxmlformats.org/officeDocument/2006/relationships" name="TMA Pipeline Stages" sheetId="7" r:id="R15188205ec784a69"/>
    <x:sheet xmlns:r="http://schemas.openxmlformats.org/officeDocument/2006/relationships" name="Register Realloc" sheetId="8" r:id="Rbbae617535cf43c2"/>
    <x:sheet xmlns:r="http://schemas.openxmlformats.org/officeDocument/2006/relationships" name="Metadata Iterations" sheetId="9" r:id="Rf979a54f89c547cb"/>
    <x:sheet xmlns:r="http://schemas.openxmlformats.org/officeDocument/2006/relationships" name="Output Tile Reuse" sheetId="10" r:id="R14fc54e5fd7d40af"/>
    <x:sheet xmlns:r="http://schemas.openxmlformats.org/officeDocument/2006/relationships" name="All Specified Shapes" sheetId="11" r:id="R68ce33e8ec1d485b"/>
    <x:sheet xmlns:r="http://schemas.openxmlformats.org/officeDocument/2006/relationships" name="Tuned Dispatch" sheetId="12" r:id="R9c1cf84d70274491"/>
    <x:sheet xmlns:r="http://schemas.openxmlformats.org/officeDocument/2006/relationships" name="Grouped GEMM" sheetId="13" r:id="R2b6a08b12658444a"/>
    <x:sheet xmlns:r="http://schemas.openxmlformats.org/officeDocument/2006/relationships" name="Grouped E32-E64" sheetId="14" r:id="Rbbec5f9f4f6d48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  <x:numFmt numFmtId="210" formatCode="0.0"/>
  </x:numFmts>
  <x:fonts count="69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  <x:font>
      <x:sz val="11"/>
      <x:color rgb="FF17637D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i/>
      <x:sz val="10"/>
      <x:color rgb="FF526174"/>
      <x:name val="Carlito"/>
    </x:font>
    <x:font>
      <x:sz val="11"/>
      <x:color rgb="FF1F2937"/>
      <x:name val="Carlito"/>
    </x:font>
    <x:font>
      <x:sz val="12"/>
      <x:color rgb="FF1F2937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b/>
      <x:sz val="10"/>
      <x:color rgb="FF1F2937"/>
      <x:name val="Carlito"/>
    </x:font>
    <x:font>
      <x:i/>
      <x:sz val="11"/>
      <x:color rgb="FF5D6B7E"/>
      <x:name val="Carlito"/>
    </x:font>
    <x:font>
      <x:sz val="11"/>
      <x:color rgb="FF0F4C6E"/>
      <x:name val="Carlito"/>
    </x:font>
    <x:font>
      <x:i/>
      <x:sz val="10"/>
      <x:color rgb="FF46566E"/>
      <x:name val="Carlito"/>
    </x:font>
    <x:font>
      <x:b/>
      <x:sz val="22"/>
      <x:color rgb="FFFFFFFF"/>
      <x:name val="Aptos"/>
    </x:font>
    <x:font>
      <x:sz val="11"/>
      <x:color rgb="FF0F4C6E"/>
      <x:name val="Aptos"/>
    </x:font>
    <x:font>
      <x:b/>
      <x:sz val="14"/>
      <x:color rgb="FFFFFFFF"/>
      <x:name val="Aptos"/>
    </x:font>
    <x:font>
      <x:i/>
      <x:sz val="10"/>
      <x:color rgb="FF46566E"/>
      <x:name val="Aptos"/>
    </x:font>
    <x:font>
      <x:b/>
      <x:sz val="22"/>
      <x:color rgb="FFFFFFFF"/>
      <x:name val="Aptos Display"/>
    </x:font>
  </x:fonts>
  <x:fills count="7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203764"/>
      </x:patternFill>
    </x:fill>
    <x:fill>
      <x:patternFill patternType="solid">
        <x:fgColor rgb="FFD9EAF7"/>
      </x:patternFill>
    </x:fill>
    <x:fill>
      <x:patternFill patternType="solid">
        <x:fgColor rgb="FF274A78"/>
      </x:patternFill>
    </x:fill>
    <x:fill>
      <x:patternFill patternType="solid">
        <x:fgColor rgb="FFEDF2F7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203764"/>
      </x:patternFill>
    </x:fill>
    <x:fill>
      <x:patternFill patternType="solid">
        <x:fgColor rgb="FFEFF3F8"/>
      </x:patternFill>
    </x:fill>
    <x:fill>
      <x:patternFill patternType="solid">
        <x:fgColor rgb="FFF5F7FA"/>
      </x:patternFill>
    </x:fill>
    <x:fill>
      <x:patternFill patternType="solid">
        <x:fgColor rgb="FF1B2D5C"/>
      </x:patternFill>
    </x:fill>
    <x:fill>
      <x:patternFill patternType="solid">
        <x:fgColor rgb="FFDCEEF8"/>
      </x:patternFill>
    </x:fill>
    <x:fill>
      <x:patternFill patternType="solid">
        <x:fgColor rgb="FF24466F"/>
      </x:patternFill>
    </x:fill>
    <x:fill>
      <x:patternFill patternType="solid">
        <x:fgColor rgb="FFF4F8FC"/>
      </x:patternFill>
    </x:fill>
    <x:fill>
      <x:patternFill patternType="solid">
        <x:fgColor rgb="FFF5F7FA"/>
      </x:patternFill>
    </x:fill>
    <x:fill>
      <x:patternFill patternType="solid">
        <x:fgColor rgb="FF1B2D5C"/>
      </x:patternFill>
    </x:fill>
    <x:fill>
      <x:patternFill patternType="solid">
        <x:fgColor rgb="FFDCEEF8"/>
      </x:patternFill>
    </x:fill>
    <x:fill>
      <x:patternFill patternType="solid">
        <x:fgColor rgb="FF24466F"/>
      </x:patternFill>
    </x:fill>
    <x:fill>
      <x:patternFill patternType="solid">
        <x:fgColor rgb="FFF5F7FA"/>
      </x:patternFill>
    </x:fill>
    <x:fill>
      <x:patternFill patternType="solid">
        <x:fgColor rgb="FF1B2D5C"/>
      </x:patternFill>
    </x:fill>
    <x:fill>
      <x:patternFill patternType="solid">
        <x:fgColor rgb="FFDCEEF8"/>
      </x:patternFill>
    </x:fill>
    <x:fill>
      <x:patternFill patternType="solid">
        <x:fgColor rgb="FF24466F"/>
      </x:patternFill>
    </x:fill>
    <x:fill>
      <x:patternFill patternType="solid">
        <x:fgColor rgb="FFF5F7FA"/>
      </x:patternFill>
    </x:fill>
    <x:fill>
      <x:patternFill patternType="solid">
        <x:fgColor rgb="FF1B2D5C"/>
      </x:patternFill>
    </x:fill>
    <x:fill>
      <x:patternFill patternType="solid">
        <x:fgColor rgb="FFDCEEF8"/>
      </x:patternFill>
    </x:fill>
    <x:fill>
      <x:patternFill patternType="solid">
        <x:fgColor rgb="FF24466F"/>
      </x:patternFill>
    </x:fill>
    <x:fill>
      <x:patternFill patternType="solid">
        <x:fgColor rgb="FFF5F7FA"/>
      </x:patternFill>
    </x:fill>
  </x:fills>
  <x:borders count="46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D8E1EC"/>
      </x:bottom>
    </x:border>
    <x:border>
      <x:top style="thin">
        <x:color rgb="FFD8E1EC"/>
      </x:top>
      <x:bottom style="thin">
        <x:color rgb="FFD8E1EC"/>
      </x:bottom>
    </x:border>
    <x:border>
      <x:top style="thin">
        <x:color rgb="FFD8E1EC"/>
      </x:top>
    </x:border>
    <x:border>
      <x:bottom style="medium">
        <x:color rgb="FF18324F"/>
      </x:bottom>
    </x:border>
    <x:border>
      <x:bottom style="thin">
        <x:color rgb="FFD7E2EE"/>
      </x:bottom>
    </x:border>
  </x:borders>
  <x:cellStyleXfs count="1">
    <x:xf numFmtId="0" fontId="0" fillId="0" borderId="0"/>
  </x:cellStyleXfs>
  <x:cellXfs count="8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  <x:xf numFmtId="0" fontId="39" fillId="44" borderId="0" xfId="0" applyNumberFormat="1" applyFont="1" applyFill="1" applyBorder="1" applyAlignment="1">
      <x:alignment vertical="center"/>
    </x:xf>
    <x:xf numFmtId="0" fontId="40" fillId="45" borderId="0" xfId="0" applyNumberFormat="1" applyFont="1" applyFill="1" applyBorder="1" applyAlignment="1">
      <x:alignment vertical="center"/>
    </x:xf>
    <x:xf numFmtId="0" fontId="47" fillId="46" borderId="29" xfId="0" applyNumberFormat="1" applyFont="1" applyFill="1" applyBorder="1" applyAlignment="1">
      <x:alignment horizontal="left" vertical="center" wrapText="1"/>
    </x:xf>
    <x:xf numFmtId="0" fontId="47" fillId="46" borderId="30" xfId="0" applyNumberFormat="1" applyFont="1" applyFill="1" applyBorder="1" applyAlignment="1">
      <x:alignment horizontal="center" vertical="center" wrapText="1"/>
    </x:xf>
    <x:xf numFmtId="0" fontId="47" fillId="46" borderId="31" xfId="0" applyNumberFormat="1" applyFont="1" applyFill="1" applyBorder="1" applyAlignment="1">
      <x:alignment horizontal="center" vertical="center" wrapText="1"/>
    </x:xf>
    <x:xf numFmtId="0" fontId="47" fillId="46" borderId="29" xfId="0" applyNumberFormat="1" applyFont="1" applyFill="1" applyBorder="1" applyAlignment="1">
      <x:alignment horizontal="center" vertical="center" wrapText="1"/>
    </x:xf>
    <x:xf numFmtId="0" fontId="47" fillId="46" borderId="30" xfId="0" applyNumberFormat="1" applyFont="1" applyFill="1" applyBorder="1" applyAlignment="1">
      <x:alignment horizontal="right" vertical="center" wrapText="1"/>
    </x:xf>
    <x:xf numFmtId="0" fontId="47" fillId="46" borderId="31" xfId="0" applyNumberFormat="1" applyFont="1" applyFill="1" applyBorder="1" applyAlignment="1">
      <x:alignment horizontal="right" vertical="center" wrapText="1"/>
    </x:xf>
    <x:xf numFmtId="0" fontId="44" fillId="44" borderId="0" xfId="0" applyNumberFormat="1" applyFont="1" applyFill="1" applyBorder="1" applyAlignment="1">
      <x:alignment horizontal="left" vertical="center"/>
    </x:xf>
    <x:xf numFmtId="0" fontId="44" fillId="44" borderId="0" xfId="0" applyNumberFormat="1" applyFont="1" applyFill="1" applyBorder="1" applyAlignment="1">
      <x:alignment horizontal="right" vertical="center"/>
    </x:xf>
    <x:xf numFmtId="0" fontId="44" fillId="44" borderId="0" xfId="0" applyNumberFormat="1" applyFont="1" applyFill="1" applyBorder="1" applyAlignment="1">
      <x:alignment vertical="center"/>
    </x:xf>
    <x:xf numFmtId="0" fontId="48" fillId="0" borderId="33" xfId="0" applyNumberFormat="1" applyFont="1" applyFill="1" applyBorder="1"/>
    <x:xf numFmtId="0" fontId="48" fillId="0" borderId="36" xfId="0" applyNumberFormat="1" applyFont="1" applyFill="1" applyBorder="1"/>
    <x:xf numFmtId="0" fontId="49" fillId="41" borderId="36" xfId="0" applyNumberFormat="1" applyFont="1" applyFill="1" applyBorder="1"/>
    <x:xf numFmtId="0" fontId="48" fillId="42" borderId="36" xfId="0" applyNumberFormat="1" applyFont="1" applyFill="1" applyBorder="1"/>
    <x:xf numFmtId="0" fontId="48" fillId="43" borderId="35" xfId="0" applyNumberFormat="1" applyFont="1" applyFill="1" applyBorder="1" applyAlignment="1">
      <x:alignment horizontal="left"/>
    </x:xf>
    <x:xf numFmtId="200" fontId="48" fillId="43" borderId="36" xfId="0" applyNumberFormat="1" applyFont="1" applyFill="1" applyBorder="1" applyAlignment="1">
      <x:alignment horizontal="right"/>
    </x:xf>
    <x:xf numFmtId="201" fontId="48" fillId="43" borderId="36" xfId="0" applyNumberFormat="1" applyFont="1" applyFill="1" applyBorder="1" applyAlignment="1">
      <x:alignment horizontal="right"/>
    </x:xf>
    <x:xf numFmtId="0" fontId="48" fillId="43" borderId="36" xfId="0" applyNumberFormat="1" applyFont="1" applyFill="1" applyBorder="1"/>
    <x:xf numFmtId="207" fontId="48" fillId="0" borderId="33" xfId="0" applyNumberFormat="1" applyFont="1" applyFill="1" applyBorder="1" applyAlignment="1">
      <x:alignment horizontal="right"/>
    </x:xf>
    <x:xf numFmtId="207" fontId="48" fillId="0" borderId="36" xfId="0" applyNumberFormat="1" applyFont="1" applyFill="1" applyBorder="1" applyAlignment="1">
      <x:alignment horizontal="right"/>
    </x:xf>
    <x:xf numFmtId="0" fontId="49" fillId="47" borderId="35" xfId="0" applyNumberFormat="1" applyFont="1" applyFill="1" applyBorder="1" applyAlignment="1">
      <x:alignment horizontal="left"/>
    </x:xf>
    <x:xf numFmtId="200" fontId="49" fillId="47" borderId="36" xfId="0" applyNumberFormat="1" applyFont="1" applyFill="1" applyBorder="1" applyAlignment="1">
      <x:alignment horizontal="right"/>
    </x:xf>
    <x:xf numFmtId="201" fontId="49" fillId="47" borderId="36" xfId="0" applyNumberFormat="1" applyFont="1" applyFill="1" applyBorder="1" applyAlignment="1">
      <x:alignment horizontal="right"/>
    </x:xf>
    <x:xf numFmtId="0" fontId="49" fillId="47" borderId="36" xfId="0" applyNumberFormat="1" applyFont="1" applyFill="1" applyBorder="1"/>
    <x:xf numFmtId="0" fontId="48" fillId="48" borderId="35" xfId="0" applyNumberFormat="1" applyFont="1" applyFill="1" applyBorder="1" applyAlignment="1">
      <x:alignment horizontal="left"/>
    </x:xf>
    <x:xf numFmtId="200" fontId="48" fillId="48" borderId="36" xfId="0" applyNumberFormat="1" applyFont="1" applyFill="1" applyBorder="1" applyAlignment="1">
      <x:alignment horizontal="right"/>
    </x:xf>
    <x:xf numFmtId="201" fontId="48" fillId="48" borderId="36" xfId="0" applyNumberFormat="1" applyFont="1" applyFill="1" applyBorder="1" applyAlignment="1">
      <x:alignment horizontal="right"/>
    </x:xf>
    <x:xf numFmtId="0" fontId="48" fillId="48" borderId="36" xfId="0" applyNumberFormat="1" applyFont="1" applyFill="1" applyBorder="1"/>
    <x:xf numFmtId="0" fontId="48" fillId="49" borderId="35" xfId="0" applyNumberFormat="1" applyFont="1" applyFill="1" applyBorder="1" applyAlignment="1">
      <x:alignment horizontal="left"/>
    </x:xf>
    <x:xf numFmtId="200" fontId="48" fillId="49" borderId="36" xfId="0" applyNumberFormat="1" applyFont="1" applyFill="1" applyBorder="1" applyAlignment="1">
      <x:alignment horizontal="right"/>
    </x:xf>
    <x:xf numFmtId="201" fontId="48" fillId="49" borderId="36" xfId="0" applyNumberFormat="1" applyFont="1" applyFill="1" applyBorder="1" applyAlignment="1">
      <x:alignment horizontal="right"/>
    </x:xf>
    <x:xf numFmtId="0" fontId="48" fillId="49" borderId="36" xfId="0" applyNumberFormat="1" applyFont="1" applyFill="1" applyBorder="1"/>
    <x:xf numFmtId="0" fontId="50" fillId="49" borderId="32" xfId="0" applyNumberFormat="1" applyFont="1" applyFill="1" applyBorder="1" applyAlignment="1">
      <x:alignment horizontal="left"/>
    </x:xf>
    <x:xf numFmtId="0" fontId="50" fillId="49" borderId="35" xfId="0" applyNumberFormat="1" applyFont="1" applyFill="1" applyBorder="1" applyAlignment="1">
      <x:alignment horizontal="left"/>
    </x:xf>
    <x:xf numFmtId="0" fontId="51" fillId="49" borderId="0" xfId="0" applyNumberFormat="1" applyFont="1" applyFill="1" applyBorder="1" applyAlignment="1">
      <x:alignment horizontal="left" vertical="center" wrapText="1"/>
    </x:xf>
    <x:xf numFmtId="0" fontId="51" fillId="49" borderId="0" xfId="0" applyNumberFormat="1" applyFont="1" applyFill="1" applyBorder="1" applyAlignment="1">
      <x:alignment vertical="center" wrapText="1"/>
    </x:xf>
    <x:xf numFmtId="0" fontId="47" fillId="44" borderId="0" xfId="0" applyNumberFormat="1" applyFont="1" applyFill="1" applyBorder="1" applyAlignment="1">
      <x:alignment vertical="center"/>
    </x:xf>
    <x:xf numFmtId="0" fontId="47" fillId="44" borderId="0" xfId="0" applyNumberFormat="1" applyFont="1" applyFill="1" applyBorder="1" applyAlignment="1">
      <x:alignment horizontal="left" vertical="center"/>
    </x:xf>
    <x:xf numFmtId="0" fontId="47" fillId="44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4" fillId="45" borderId="0" xfId="0" applyNumberFormat="1" applyFont="1" applyFill="1" applyBorder="1"/>
    <x:xf numFmtId="0" fontId="34" fillId="45" borderId="0" xfId="0" applyNumberFormat="1" applyFont="1" applyFill="1" applyBorder="1" applyAlignment="1">
      <x:alignment vertical="center"/>
    </x:xf>
    <x:xf numFmtId="0" fontId="0" fillId="46" borderId="0" xfId="0" applyNumberFormat="1" applyFont="1" applyFill="1" applyBorder="1"/>
    <x:xf numFmtId="0" fontId="9" fillId="46" borderId="0" xfId="0" applyNumberFormat="1" applyFont="1" applyFill="1" applyBorder="1"/>
    <x:xf numFmtId="0" fontId="9" fillId="46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horizontal="center" wrapText="1"/>
    </x:xf>
    <x:xf numFmtId="0" fontId="9" fillId="46" borderId="0" xfId="0" applyNumberFormat="1" applyFont="1" applyFill="1" applyBorder="1" applyAlignment="1">
      <x:alignment horizontal="center" vertical="center" wrapText="1"/>
    </x:xf>
    <x:xf numFmtId="0" fontId="35" fillId="44" borderId="0" xfId="0" applyNumberFormat="1" applyFont="1" applyFill="1" applyBorder="1"/>
    <x:xf numFmtId="0" fontId="35" fillId="44" borderId="0" xfId="0" applyNumberFormat="1" applyFont="1" applyFill="1" applyBorder="1" applyAlignment="1">
      <x:alignment vertical="center"/>
    </x:xf>
    <x:xf numFmtId="0" fontId="0" fillId="49" borderId="32" xfId="0" applyNumberFormat="1" applyFont="1" applyFill="1" applyBorder="1"/>
    <x:xf numFmtId="0" fontId="0" fillId="49" borderId="35" xfId="0" applyNumberFormat="1" applyFont="1" applyFill="1" applyBorder="1"/>
    <x:xf numFmtId="0" fontId="0" fillId="49" borderId="38" xfId="0" applyNumberFormat="1" applyFont="1" applyFill="1" applyBorder="1"/>
    <x:xf numFmtId="0" fontId="37" fillId="49" borderId="32" xfId="0" applyNumberFormat="1" applyFont="1" applyFill="1" applyBorder="1"/>
    <x:xf numFmtId="0" fontId="37" fillId="49" borderId="35" xfId="0" applyNumberFormat="1" applyFont="1" applyFill="1" applyBorder="1"/>
    <x:xf numFmtId="0" fontId="37" fillId="49" borderId="38" xfId="0" applyNumberFormat="1" applyFont="1" applyFill="1" applyBorder="1"/>
    <x:xf numFmtId="0" fontId="0" fillId="49" borderId="0" xfId="0" applyNumberFormat="1" applyFont="1" applyFill="1" applyBorder="1"/>
    <x:xf numFmtId="0" fontId="38" fillId="49" borderId="0" xfId="0" applyNumberFormat="1" applyFont="1" applyFill="1" applyBorder="1"/>
    <x:xf numFmtId="0" fontId="38" fillId="49" borderId="0" xfId="0" applyNumberFormat="1" applyFont="1" applyFill="1" applyBorder="1" applyAlignment="1">
      <x:alignment wrapText="1"/>
    </x:xf>
    <x:xf numFmtId="0" fontId="38" fillId="49" borderId="0" xfId="0" applyNumberFormat="1" applyFont="1" applyFill="1" applyBorder="1" applyAlignment="1">
      <x:alignment vertical="center" wrapText="1"/>
    </x:xf>
    <x:xf numFmtId="201" fontId="0" fillId="0" borderId="39" xfId="0" applyNumberFormat="1" applyFont="1" applyFill="1" applyBorder="1"/>
    <x:xf numFmtId="201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horizontal="right"/>
    </x:xf>
    <x:xf numFmtId="0" fontId="0" fillId="0" borderId="36" xfId="0" applyNumberFormat="1" applyFont="1" applyFill="1" applyBorder="1" applyAlignment="1">
      <x:alignment horizontal="right"/>
    </x:xf>
    <x:xf numFmtId="201" fontId="0" fillId="0" borderId="39" xfId="0" applyNumberFormat="1" applyFont="1" applyFill="1" applyBorder="1" applyAlignment="1">
      <x:alignment horizontal="right"/>
    </x:xf>
    <x:xf numFmtId="0" fontId="0" fillId="0" borderId="39" xfId="0" applyNumberFormat="1" applyFont="1" applyFill="1" applyBorder="1" applyAlignment="1">
      <x:alignment horizontal="right"/>
    </x:xf>
    <x:xf numFmtId="0" fontId="42" fillId="46" borderId="0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/>
    <x:xf numFmtId="0" fontId="41" fillId="0" borderId="33" xfId="0" applyNumberFormat="1" applyFont="1" applyFill="1" applyBorder="1" applyAlignment="1">
      <x:alignment horizontal="right"/>
    </x:xf>
    <x:xf numFmtId="0" fontId="41" fillId="0" borderId="35" xfId="0" applyNumberFormat="1" applyFont="1" applyFill="1" applyBorder="1"/>
    <x:xf numFmtId="0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/>
    <x:xf numFmtId="201" fontId="41" fillId="0" borderId="39" xfId="0" applyNumberFormat="1" applyFont="1" applyFill="1" applyBorder="1" applyAlignment="1">
      <x:alignment horizontal="right"/>
    </x:xf>
    <x:xf numFmtId="0" fontId="41" fillId="0" borderId="39" xfId="0" applyNumberFormat="1" applyFont="1" applyFill="1" applyBorder="1" applyAlignment="1">
      <x:alignment horizontal="right"/>
    </x:xf>
    <x:xf numFmtId="0" fontId="45" fillId="49" borderId="32" xfId="0" applyNumberFormat="1" applyFont="1" applyFill="1" applyBorder="1"/>
    <x:xf numFmtId="0" fontId="45" fillId="49" borderId="35" xfId="0" applyNumberFormat="1" applyFont="1" applyFill="1" applyBorder="1"/>
    <x:xf numFmtId="0" fontId="45" fillId="49" borderId="38" xfId="0" applyNumberFormat="1" applyFont="1" applyFill="1" applyBorder="1"/>
    <x:xf numFmtId="201" fontId="41" fillId="0" borderId="40" xfId="0" applyNumberFormat="1" applyFont="1" applyFill="1" applyBorder="1"/>
    <x:xf numFmtId="0" fontId="46" fillId="49" borderId="0" xfId="0" applyNumberFormat="1" applyFont="1" applyFill="1" applyBorder="1" applyAlignment="1">
      <x:alignment vertical="center" wrapText="1"/>
    </x:xf>
    <x:xf numFmtId="0" fontId="47" fillId="46" borderId="0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/>
    <x:xf numFmtId="0" fontId="48" fillId="0" borderId="33" xfId="0" applyNumberFormat="1" applyFont="1" applyFill="1" applyBorder="1" applyAlignment="1">
      <x:alignment horizontal="right"/>
    </x:xf>
    <x:xf numFmtId="0" fontId="48" fillId="0" borderId="35" xfId="0" applyNumberFormat="1" applyFont="1" applyFill="1" applyBorder="1"/>
    <x:xf numFmtId="0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/>
    <x:xf numFmtId="201" fontId="48" fillId="0" borderId="39" xfId="0" applyNumberFormat="1" applyFont="1" applyFill="1" applyBorder="1" applyAlignment="1">
      <x:alignment horizontal="right"/>
    </x:xf>
    <x:xf numFmtId="0" fontId="48" fillId="0" borderId="39" xfId="0" applyNumberFormat="1" applyFont="1" applyFill="1" applyBorder="1" applyAlignment="1">
      <x:alignment horizontal="right"/>
    </x:xf>
    <x:xf numFmtId="0" fontId="50" fillId="49" borderId="32" xfId="0" applyNumberFormat="1" applyFont="1" applyFill="1" applyBorder="1"/>
    <x:xf numFmtId="0" fontId="50" fillId="49" borderId="35" xfId="0" applyNumberFormat="1" applyFont="1" applyFill="1" applyBorder="1"/>
    <x:xf numFmtId="0" fontId="50" fillId="49" borderId="38" xfId="0" applyNumberFormat="1" applyFont="1" applyFill="1" applyBorder="1"/>
    <x:xf numFmtId="201" fontId="48" fillId="0" borderId="40" xfId="0" applyNumberFormat="1" applyFont="1" applyFill="1" applyBorder="1"/>
    <x:xf numFmtId="0" fontId="0" fillId="50" borderId="0" xfId="0" applyNumberFormat="1" applyFont="1" applyFill="1" applyBorder="1"/>
    <x:xf numFmtId="0" fontId="7" fillId="50" borderId="0" xfId="0" applyNumberFormat="1" applyFont="1" applyFill="1" applyBorder="1"/>
    <x:xf numFmtId="0" fontId="7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52" fillId="51" borderId="0" xfId="0" applyNumberFormat="1" applyFont="1" applyFill="1" applyBorder="1"/>
    <x:xf numFmtId="0" fontId="52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9" fillId="52" borderId="0" xfId="0" applyNumberFormat="1" applyFont="1" applyFill="1" applyBorder="1"/>
    <x:xf numFmtId="0" fontId="9" fillId="52" borderId="0" xfId="0" applyNumberFormat="1" applyFont="1" applyFill="1" applyBorder="1" applyAlignment="1">
      <x:alignment wrapText="1"/>
    </x:xf>
    <x:xf numFmtId="0" fontId="9" fillId="52" borderId="0" xfId="0" applyNumberFormat="1" applyFont="1" applyFill="1" applyBorder="1" applyAlignment="1">
      <x:alignment horizontal="center" wrapText="1"/>
    </x:xf>
    <x:xf numFmtId="0" fontId="9" fillId="52" borderId="0" xfId="0" applyNumberFormat="1" applyFont="1" applyFill="1" applyBorder="1" applyAlignment="1">
      <x:alignment horizontal="center" vertical="center" wrapText="1"/>
    </x:xf>
    <x:xf numFmtId="0" fontId="53" fillId="0" borderId="0" xfId="0" applyNumberFormat="1" applyFont="1" applyFill="1" applyBorder="1"/>
    <x:xf numFmtId="0" fontId="53" fillId="0" borderId="41" xfId="0" applyNumberFormat="1" applyFont="1" applyFill="1" applyBorder="1"/>
    <x:xf numFmtId="0" fontId="53" fillId="0" borderId="42" xfId="0" applyNumberFormat="1" applyFont="1" applyFill="1" applyBorder="1"/>
    <x:xf numFmtId="0" fontId="53" fillId="0" borderId="43" xfId="0" applyNumberFormat="1" applyFont="1" applyFill="1" applyBorder="1"/>
    <x:xf numFmtId="0" fontId="53" fillId="0" borderId="41" xfId="0" applyNumberFormat="1" applyFont="1" applyFill="1" applyBorder="1" applyAlignment="1">
      <x:alignment vertical="center"/>
    </x:xf>
    <x:xf numFmtId="0" fontId="53" fillId="0" borderId="42" xfId="0" applyNumberFormat="1" applyFont="1" applyFill="1" applyBorder="1" applyAlignment="1">
      <x:alignment vertical="center"/>
    </x:xf>
    <x:xf numFmtId="0" fontId="53" fillId="0" borderId="43" xfId="0" applyNumberFormat="1" applyFont="1" applyFill="1" applyBorder="1" applyAlignment="1">
      <x:alignment vertical="center"/>
    </x:xf>
    <x:xf numFmtId="0" fontId="53" fillId="0" borderId="41" xfId="0" applyNumberFormat="1" applyFont="1" applyFill="1" applyBorder="1" applyAlignment="1">
      <x:alignment horizontal="right" vertical="center"/>
    </x:xf>
    <x:xf numFmtId="0" fontId="53" fillId="0" borderId="42" xfId="0" applyNumberFormat="1" applyFont="1" applyFill="1" applyBorder="1" applyAlignment="1">
      <x:alignment horizontal="right" vertical="center"/>
    </x:xf>
    <x:xf numFmtId="0" fontId="53" fillId="0" borderId="43" xfId="0" applyNumberFormat="1" applyFont="1" applyFill="1" applyBorder="1" applyAlignment="1">
      <x:alignment horizontal="right" vertical="center"/>
    </x:xf>
    <x:xf numFmtId="200" fontId="53" fillId="0" borderId="41" xfId="0" applyNumberFormat="1" applyFont="1" applyFill="1" applyBorder="1" applyAlignment="1">
      <x:alignment horizontal="right" vertical="center"/>
    </x:xf>
    <x:xf numFmtId="200" fontId="53" fillId="0" borderId="42" xfId="0" applyNumberFormat="1" applyFont="1" applyFill="1" applyBorder="1" applyAlignment="1">
      <x:alignment horizontal="right" vertical="center"/>
    </x:xf>
    <x:xf numFmtId="200" fontId="53" fillId="0" borderId="43" xfId="0" applyNumberFormat="1" applyFont="1" applyFill="1" applyBorder="1" applyAlignment="1">
      <x:alignment horizontal="right" vertical="center"/>
    </x:xf>
    <x:xf numFmtId="201" fontId="53" fillId="0" borderId="41" xfId="0" applyNumberFormat="1" applyFont="1" applyFill="1" applyBorder="1" applyAlignment="1">
      <x:alignment horizontal="right" vertical="center"/>
    </x:xf>
    <x:xf numFmtId="201" fontId="53" fillId="0" borderId="42" xfId="0" applyNumberFormat="1" applyFont="1" applyFill="1" applyBorder="1" applyAlignment="1">
      <x:alignment horizontal="right" vertical="center"/>
    </x:xf>
    <x:xf numFmtId="201" fontId="53" fillId="0" borderId="43" xfId="0" applyNumberFormat="1" applyFont="1" applyFill="1" applyBorder="1" applyAlignment="1">
      <x:alignment horizontal="right" vertical="center"/>
    </x:xf>
    <x:xf numFmtId="209" fontId="53" fillId="0" borderId="41" xfId="0" applyNumberFormat="1" applyFont="1" applyFill="1" applyBorder="1" applyAlignment="1">
      <x:alignment horizontal="right" vertical="center"/>
    </x:xf>
    <x:xf numFmtId="209" fontId="53" fillId="0" borderId="42" xfId="0" applyNumberFormat="1" applyFont="1" applyFill="1" applyBorder="1" applyAlignment="1">
      <x:alignment horizontal="right" vertical="center"/>
    </x:xf>
    <x:xf numFmtId="209" fontId="53" fillId="0" borderId="43" xfId="0" applyNumberFormat="1" applyFont="1" applyFill="1" applyBorder="1" applyAlignment="1">
      <x:alignment horizontal="right" vertical="center"/>
    </x:xf>
    <x:xf numFmtId="0" fontId="35" fillId="50" borderId="0" xfId="0" applyNumberFormat="1" applyFont="1" applyFill="1" applyBorder="1"/>
    <x:xf numFmtId="0" fontId="0" fillId="53" borderId="0" xfId="0" applyNumberFormat="1" applyFont="1" applyFill="1" applyBorder="1"/>
    <x:xf numFmtId="0" fontId="54" fillId="53" borderId="0" xfId="0" applyNumberFormat="1" applyFont="1" applyFill="1" applyBorder="1"/>
    <x:xf numFmtId="0" fontId="54" fillId="0" borderId="0" xfId="0" applyNumberFormat="1" applyFont="1" applyFill="1" applyBorder="1"/>
    <x:xf numFmtId="0" fontId="54" fillId="0" borderId="0" xfId="0" applyNumberFormat="1" applyFont="1" applyFill="1" applyBorder="1" applyAlignment="1">
      <x:alignment horizontal="right"/>
    </x:xf>
    <x:xf numFmtId="209" fontId="54" fillId="0" borderId="0" xfId="0" applyNumberFormat="1" applyFont="1" applyFill="1" applyBorder="1" applyAlignment="1">
      <x:alignment horizontal="right"/>
    </x:xf>
    <x:xf numFmtId="201" fontId="54" fillId="0" borderId="0" xfId="0" applyNumberFormat="1" applyFont="1" applyFill="1" applyBorder="1" applyAlignment="1">
      <x:alignment horizontal="right"/>
    </x:xf>
    <x:xf numFmtId="200" fontId="54" fillId="0" borderId="0" xfId="0" applyNumberFormat="1" applyFont="1" applyFill="1" applyBorder="1" applyAlignment="1">
      <x:alignment horizontal="right"/>
    </x:xf>
    <x:xf numFmtId="0" fontId="0" fillId="54" borderId="0" xfId="0" applyNumberFormat="1" applyFont="1" applyFill="1" applyBorder="1"/>
    <x:xf numFmtId="0" fontId="55" fillId="54" borderId="0" xfId="0" applyNumberFormat="1" applyFont="1" applyFill="1" applyBorder="1"/>
    <x:xf numFmtId="0" fontId="55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35" fillId="55" borderId="0" xfId="0" applyNumberFormat="1" applyFont="1" applyFill="1" applyBorder="1"/>
    <x:xf numFmtId="0" fontId="54" fillId="55" borderId="0" xfId="0" applyNumberFormat="1" applyFont="1" applyFill="1" applyBorder="1"/>
    <x:xf numFmtId="209" fontId="54" fillId="55" borderId="0" xfId="0" applyNumberFormat="1" applyFont="1" applyFill="1" applyBorder="1" applyAlignment="1">
      <x:alignment horizontal="right"/>
    </x:xf>
    <x:xf numFmtId="0" fontId="56" fillId="55" borderId="0" xfId="0" applyNumberFormat="1" applyFont="1" applyFill="1" applyBorder="1"/>
    <x:xf numFmtId="0" fontId="57" fillId="55" borderId="0" xfId="0" applyNumberFormat="1" applyFont="1" applyFill="1" applyBorder="1"/>
    <x:xf numFmtId="209" fontId="56" fillId="55" borderId="0" xfId="0" applyNumberFormat="1" applyFont="1" applyFill="1" applyBorder="1" applyAlignment="1">
      <x:alignment horizontal="right"/>
    </x:xf>
    <x:xf numFmtId="0" fontId="56" fillId="55" borderId="41" xfId="0" applyNumberFormat="1" applyFont="1" applyFill="1" applyBorder="1"/>
    <x:xf numFmtId="0" fontId="56" fillId="55" borderId="42" xfId="0" applyNumberFormat="1" applyFont="1" applyFill="1" applyBorder="1"/>
    <x:xf numFmtId="0" fontId="57" fillId="55" borderId="42" xfId="0" applyNumberFormat="1" applyFont="1" applyFill="1" applyBorder="1"/>
    <x:xf numFmtId="209" fontId="56" fillId="55" borderId="42" xfId="0" applyNumberFormat="1" applyFont="1" applyFill="1" applyBorder="1" applyAlignment="1">
      <x:alignment horizontal="right"/>
    </x:xf>
    <x:xf numFmtId="200" fontId="56" fillId="55" borderId="41" xfId="0" applyNumberFormat="1" applyFont="1" applyFill="1" applyBorder="1"/>
    <x:xf numFmtId="200" fontId="56" fillId="55" borderId="42" xfId="0" applyNumberFormat="1" applyFont="1" applyFill="1" applyBorder="1"/>
    <x:xf numFmtId="200" fontId="57" fillId="55" borderId="42" xfId="0" applyNumberFormat="1" applyFont="1" applyFill="1" applyBorder="1"/>
    <x:xf numFmtId="200" fontId="56" fillId="55" borderId="42" xfId="0" applyNumberFormat="1" applyFont="1" applyFill="1" applyBorder="1" applyAlignment="1">
      <x:alignment horizontal="right"/>
    </x:xf>
    <x:xf numFmtId="200" fontId="56" fillId="55" borderId="41" xfId="0" applyNumberFormat="1" applyFont="1" applyFill="1" applyBorder="1" applyAlignment="1">
      <x:alignment horizontal="right"/>
    </x:xf>
    <x:xf numFmtId="200" fontId="57" fillId="55" borderId="42" xfId="0" applyNumberFormat="1" applyFont="1" applyFill="1" applyBorder="1" applyAlignment="1">
      <x:alignment horizontal="right"/>
    </x:xf>
    <x:xf numFmtId="201" fontId="56" fillId="55" borderId="41" xfId="0" applyNumberFormat="1" applyFont="1" applyFill="1" applyBorder="1"/>
    <x:xf numFmtId="201" fontId="56" fillId="55" borderId="42" xfId="0" applyNumberFormat="1" applyFont="1" applyFill="1" applyBorder="1"/>
    <x:xf numFmtId="201" fontId="56" fillId="55" borderId="41" xfId="0" applyNumberFormat="1" applyFont="1" applyFill="1" applyBorder="1" applyAlignment="1">
      <x:alignment horizontal="right"/>
    </x:xf>
    <x:xf numFmtId="201" fontId="56" fillId="55" borderId="42" xfId="0" applyNumberFormat="1" applyFont="1" applyFill="1" applyBorder="1" applyAlignment="1">
      <x:alignment horizontal="right"/>
    </x:xf>
    <x:xf numFmtId="209" fontId="56" fillId="55" borderId="41" xfId="0" applyNumberFormat="1" applyFont="1" applyFill="1" applyBorder="1"/>
    <x:xf numFmtId="209" fontId="56" fillId="55" borderId="42" xfId="0" applyNumberFormat="1" applyFont="1" applyFill="1" applyBorder="1"/>
    <x:xf numFmtId="209" fontId="56" fillId="55" borderId="41" xfId="0" applyNumberFormat="1" applyFont="1" applyFill="1" applyBorder="1" applyAlignment="1">
      <x:alignment horizontal="right"/>
    </x:xf>
    <x:xf numFmtId="0" fontId="0" fillId="56" borderId="0" xfId="0" applyNumberFormat="1" applyFont="1" applyFill="1" applyBorder="1"/>
    <x:xf numFmtId="0" fontId="9" fillId="56" borderId="0" xfId="0" applyNumberFormat="1" applyFont="1" applyFill="1" applyBorder="1"/>
    <x:xf numFmtId="0" fontId="0" fillId="57" borderId="0" xfId="0" applyNumberFormat="1" applyFont="1" applyFill="1" applyBorder="1"/>
    <x:xf numFmtId="0" fontId="55" fillId="57" borderId="0" xfId="0" applyNumberFormat="1" applyFont="1" applyFill="1" applyBorder="1" applyAlignment="1">
      <x:alignment wrapText="1"/>
    </x:xf>
    <x:xf numFmtId="0" fontId="56" fillId="57" borderId="0" xfId="0" applyNumberFormat="1" applyFont="1" applyFill="1" applyBorder="1"/>
    <x:xf numFmtId="0" fontId="58" fillId="57" borderId="0" xfId="0" applyNumberFormat="1" applyFont="1" applyFill="1" applyBorder="1" applyAlignment="1">
      <x:alignment wrapText="1"/>
    </x:xf>
    <x:xf numFmtId="0" fontId="59" fillId="57" borderId="0" xfId="0" applyNumberFormat="1" applyFont="1" applyFill="1" applyBorder="1"/>
    <x:xf numFmtId="0" fontId="60" fillId="57" borderId="0" xfId="0" applyNumberFormat="1" applyFont="1" applyFill="1" applyBorder="1" applyAlignment="1">
      <x:alignment wrapText="1"/>
    </x:xf>
    <x:xf numFmtId="0" fontId="56" fillId="57" borderId="0" xfId="0" applyNumberFormat="1" applyFont="1" applyFill="1" applyBorder="1" applyAlignment="1">
      <x:alignment horizontal="right"/>
    </x:xf>
    <x:xf numFmtId="0" fontId="58" fillId="57" borderId="0" xfId="0" applyNumberFormat="1" applyFont="1" applyFill="1" applyBorder="1" applyAlignment="1">
      <x:alignment horizontal="right" wrapText="1"/>
    </x:xf>
    <x:xf numFmtId="209" fontId="56" fillId="57" borderId="0" xfId="0" applyNumberFormat="1" applyFont="1" applyFill="1" applyBorder="1" applyAlignment="1">
      <x:alignment horizontal="right"/>
    </x:xf>
    <x:xf numFmtId="201" fontId="58" fillId="57" borderId="0" xfId="0" applyNumberFormat="1" applyFont="1" applyFill="1" applyBorder="1" applyAlignment="1">
      <x:alignment horizontal="right" wrapText="1"/>
    </x:xf>
    <x:xf numFmtId="200" fontId="56" fillId="57" borderId="0" xfId="0" applyNumberFormat="1" applyFont="1" applyFill="1" applyBorder="1" applyAlignment="1">
      <x:alignment horizontal="right"/>
    </x:xf>
    <x:xf numFmtId="0" fontId="0" fillId="58" borderId="0" xfId="0" applyNumberFormat="1" applyFont="1" applyFill="1" applyBorder="1"/>
    <x:xf numFmtId="0" fontId="61" fillId="58" borderId="0" xfId="0" applyNumberFormat="1" applyFont="1" applyFill="1" applyBorder="1"/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vertical="center"/>
    </x:xf>
    <x:xf numFmtId="0" fontId="0" fillId="60" borderId="0" xfId="0" applyNumberFormat="1" applyFont="1" applyFill="1" applyBorder="1"/>
    <x:xf numFmtId="0" fontId="62" fillId="60" borderId="0" xfId="0" applyNumberFormat="1" applyFont="1" applyFill="1" applyBorder="1"/>
    <x:xf numFmtId="0" fontId="62" fillId="60" borderId="0" xfId="0" applyNumberFormat="1" applyFont="1" applyFill="1" applyBorder="1" applyAlignment="1">
      <x:alignment vertical="center"/>
    </x:xf>
    <x:xf numFmtId="0" fontId="0" fillId="61" borderId="0" xfId="0" applyNumberFormat="1" applyFont="1" applyFill="1" applyBorder="1"/>
    <x:xf numFmtId="0" fontId="9" fillId="61" borderId="0" xfId="0" applyNumberFormat="1" applyFont="1" applyFill="1" applyBorder="1"/>
    <x:xf numFmtId="0" fontId="9" fillId="61" borderId="44" xfId="0" applyNumberFormat="1" applyFont="1" applyFill="1" applyBorder="1"/>
    <x:xf numFmtId="0" fontId="9" fillId="61" borderId="44" xfId="0" applyNumberFormat="1" applyFont="1" applyFill="1" applyBorder="1" applyAlignment="1">
      <x:alignment wrapText="1"/>
    </x:xf>
    <x:xf numFmtId="0" fontId="9" fillId="61" borderId="44" xfId="0" applyNumberFormat="1" applyFont="1" applyFill="1" applyBorder="1" applyAlignment="1">
      <x:alignment horizontal="center" wrapText="1"/>
    </x:xf>
    <x:xf numFmtId="0" fontId="9" fillId="61" borderId="44" xfId="0" applyNumberFormat="1" applyFont="1" applyFill="1" applyBorder="1" applyAlignment="1">
      <x:alignment horizontal="center" vertical="center" wrapText="1"/>
    </x:xf>
    <x:xf numFmtId="0" fontId="10" fillId="59" borderId="0" xfId="0" applyNumberFormat="1" applyFont="1" applyFill="1" applyBorder="1"/>
    <x:xf numFmtId="0" fontId="10" fillId="59" borderId="0" xfId="0" applyNumberFormat="1" applyFont="1" applyFill="1" applyBorder="1" applyAlignment="1">
      <x:alignment vertical="center"/>
    </x:xf>
    <x:xf numFmtId="0" fontId="0" fillId="62" borderId="0" xfId="0" applyNumberFormat="1" applyFont="1" applyFill="1" applyBorder="1"/>
    <x:xf numFmtId="0" fontId="0" fillId="62" borderId="45" xfId="0" applyNumberFormat="1" applyFont="1" applyFill="1" applyBorder="1"/>
    <x:xf numFmtId="0" fontId="0" fillId="62" borderId="45" xfId="0" applyNumberFormat="1" applyFont="1" applyFill="1" applyBorder="1" applyAlignment="1">
      <x:alignment vertical="center"/>
    </x:xf>
    <x:xf numFmtId="0" fontId="0" fillId="0" xfId="0" applyNumberFormat="1" applyFont="1" applyFill="1" applyBorder="0"/>
    <x:xf numFmtId="0" fontId="0" fillId="0" borderId="45" xfId="0" applyNumberFormat="1" applyFont="1" applyFill="1" applyBorder="1"/>
    <x:xf numFmtId="0" fontId="0" fillId="0" xfId="0" applyNumberFormat="1" applyFont="1" applyFill="1" applyBorder="0" applyAlignment="1">
      <x:alignment vertical="center"/>
    </x:xf>
    <x:xf numFmtId="0" fontId="0" fillId="0" borderId="45" xfId="0" applyNumberFormat="1" applyFont="1" applyFill="1" applyBorder="1" applyAlignment="1">
      <x:alignment vertical="center"/>
    </x:xf>
    <x:xf numFmtId="0" fontId="0" fillId="0" xfId="0" applyNumberFormat="1" applyFont="1" applyFill="1" applyBorder="0" applyAlignment="1">
      <x:alignment vertical="center" wrapText="1"/>
    </x:xf>
    <x:xf numFmtId="0" fontId="0" fillId="0" borderId="45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63" fillId="63" borderId="0" xfId="0" applyNumberFormat="1" applyFont="1" applyFill="1" applyBorder="1"/>
    <x:xf numFmtId="0" fontId="63" fillId="63" borderId="0" xfId="0" applyNumberFormat="1" applyFont="1" applyFill="1" applyBorder="1" applyAlignment="1">
      <x:alignment wrapText="1"/>
    </x:xf>
    <x:xf numFmtId="0" fontId="63" fillId="63" borderId="0" xfId="0" applyNumberFormat="1" applyFont="1" applyFill="1" applyBorder="1" applyAlignment="1">
      <x:alignment vertical="center" wrapText="1"/>
    </x:xf>
    <x:xf numFmtId="0" fontId="0" fillId="62" borderId="45" xfId="0" applyNumberFormat="1" applyFont="1" applyFill="1" applyBorder="1" applyAlignment="1">
      <x:alignment horizontal="center" vertical="center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0" borderId="45" xfId="0" applyNumberFormat="1" applyFont="1" applyFill="1" applyBorder="1" applyAlignment="1">
      <x:alignment horizontal="center" vertical="center" wrapText="1"/>
    </x:xf>
    <x:xf numFmtId="200" fontId="0" fillId="62" borderId="45" xfId="0" applyNumberFormat="1" applyFont="1" applyFill="1" applyBorder="1" applyAlignment="1">
      <x:alignment horizontal="center" vertical="center"/>
    </x:xf>
    <x:xf numFmtId="201" fontId="0" fillId="62" borderId="45" xfId="0" applyNumberFormat="1" applyFont="1" applyFill="1" applyBorder="1" applyAlignment="1">
      <x:alignment horizontal="center" vertical="center"/>
    </x:xf>
    <x:xf numFmtId="200" fontId="0" fillId="0" xfId="0" applyNumberFormat="1" applyFont="1" applyFill="1" applyBorder="0" applyAlignment="1">
      <x:alignment horizontal="center" vertical="center" wrapText="1"/>
    </x:xf>
    <x:xf numFmtId="200" fontId="0" fillId="0" borderId="45" xfId="0" applyNumberFormat="1" applyFont="1" applyFill="1" applyBorder="1" applyAlignment="1">
      <x:alignment horizontal="center" vertical="center" wrapText="1"/>
    </x:xf>
    <x:xf numFmtId="201" fontId="0" fillId="0" xfId="0" applyNumberFormat="1" applyFont="1" applyFill="1" applyBorder="0" applyAlignment="1">
      <x:alignment horizontal="center" vertical="center" wrapText="1"/>
    </x:xf>
    <x:xf numFmtId="201" fontId="0" fillId="0" borderId="45" xfId="0" applyNumberFormat="1" applyFont="1" applyFill="1" applyBorder="1" applyAlignment="1">
      <x:alignment horizontal="center" vertical="center" wrapText="1"/>
    </x:xf>
    <x:xf numFmtId="206" fontId="0" fillId="0" xfId="0" applyNumberFormat="1" applyFont="1" applyFill="1" applyBorder="0" applyAlignment="1">
      <x:alignment horizontal="center" vertical="center" wrapText="1"/>
    </x:xf>
    <x:xf numFmtId="206" fontId="0" fillId="0" borderId="45" xfId="0" applyNumberFormat="1" applyFont="1" applyFill="1" applyBorder="1" applyAlignment="1">
      <x:alignment horizontal="center" vertical="center" wrapText="1"/>
    </x:xf>
    <x:xf numFmtId="207" fontId="0" fillId="0" xfId="0" applyNumberFormat="1" applyFont="1" applyFill="1" applyBorder="0" applyAlignment="1">
      <x:alignment horizontal="center" vertical="center" wrapText="1"/>
    </x:xf>
    <x:xf numFmtId="207" fontId="0" fillId="0" borderId="45" xfId="0" applyNumberFormat="1" applyFont="1" applyFill="1" applyBorder="1" applyAlignment="1">
      <x:alignment horizontal="center" vertical="center" wrapText="1"/>
    </x:xf>
    <x:xf numFmtId="0" fontId="64" fillId="59" borderId="0" xfId="0" applyNumberFormat="1" applyFont="1" applyFill="1" applyBorder="1" applyAlignment="1">
      <x:alignment vertical="center"/>
    </x:xf>
    <x:xf numFmtId="0" fontId="65" fillId="60" borderId="0" xfId="0" applyNumberFormat="1" applyFont="1" applyFill="1" applyBorder="1" applyAlignment="1">
      <x:alignment vertical="center"/>
    </x:xf>
    <x:xf numFmtId="0" fontId="42" fillId="61" borderId="44" xfId="0" applyNumberFormat="1" applyFont="1" applyFill="1" applyBorder="1" applyAlignment="1">
      <x:alignment horizontal="center" vertical="center" wrapText="1"/>
    </x:xf>
    <x:xf numFmtId="0" fontId="41" fillId="62" borderId="45" xfId="0" applyNumberFormat="1" applyFont="1" applyFill="1" applyBorder="1" applyAlignment="1">
      <x:alignment horizontal="center" vertical="center"/>
    </x:xf>
    <x:xf numFmtId="0" fontId="41" fillId="62" borderId="45" xfId="0" applyNumberFormat="1" applyFont="1" applyFill="1" applyBorder="1" applyAlignment="1">
      <x:alignment vertical="center"/>
    </x:xf>
    <x:xf numFmtId="200" fontId="41" fillId="62" borderId="45" xfId="0" applyNumberFormat="1" applyFont="1" applyFill="1" applyBorder="1" applyAlignment="1">
      <x:alignment horizontal="center" vertical="center"/>
    </x:xf>
    <x:xf numFmtId="201" fontId="41" fillId="62" borderId="45" xfId="0" applyNumberFormat="1" applyFont="1" applyFill="1" applyBorder="1" applyAlignment="1">
      <x:alignment horizontal="center" vertical="center"/>
    </x:xf>
    <x:xf numFmtId="0" fontId="66" fillId="59" borderId="0" xfId="0" applyNumberFormat="1" applyFont="1" applyFill="1" applyBorder="1" applyAlignment="1">
      <x:alignment vertical="center"/>
    </x:xf>
    <x:xf numFmtId="0" fontId="41" fillId="0" xfId="0" applyNumberFormat="1" applyFont="1" applyFill="1" applyBorder="0" applyAlignment="1">
      <x:alignment vertical="center" wrapText="1"/>
    </x:xf>
    <x:xf numFmtId="0" fontId="41" fillId="0" xfId="0" applyNumberFormat="1" applyFont="1" applyFill="1" applyBorder="0" applyAlignment="1">
      <x:alignment horizontal="center" vertical="center" wrapText="1"/>
    </x:xf>
    <x:xf numFmtId="200" fontId="41" fillId="0" xfId="0" applyNumberFormat="1" applyFont="1" applyFill="1" applyBorder="0" applyAlignment="1">
      <x:alignment horizontal="center" vertical="center" wrapText="1"/>
    </x:xf>
    <x:xf numFmtId="201" fontId="41" fillId="0" xfId="0" applyNumberFormat="1" applyFont="1" applyFill="1" applyBorder="0" applyAlignment="1">
      <x:alignment horizontal="center" vertical="center" wrapText="1"/>
    </x:xf>
    <x:xf numFmtId="206" fontId="41" fillId="0" xfId="0" applyNumberFormat="1" applyFont="1" applyFill="1" applyBorder="0" applyAlignment="1">
      <x:alignment horizontal="center" vertical="center" wrapText="1"/>
    </x:xf>
    <x:xf numFmtId="207" fontId="41" fillId="0" xfId="0" applyNumberFormat="1" applyFont="1" applyFill="1" applyBorder="0" applyAlignment="1">
      <x:alignment horizontal="center" vertical="center" wrapText="1"/>
    </x:xf>
    <x:xf numFmtId="0" fontId="41" fillId="0" borderId="45" xfId="0" applyNumberFormat="1" applyFont="1" applyFill="1" applyBorder="1" applyAlignment="1">
      <x:alignment vertical="center" wrapText="1"/>
    </x:xf>
    <x:xf numFmtId="0" fontId="41" fillId="0" borderId="45" xfId="0" applyNumberFormat="1" applyFont="1" applyFill="1" applyBorder="1" applyAlignment="1">
      <x:alignment horizontal="center" vertical="center" wrapText="1"/>
    </x:xf>
    <x:xf numFmtId="200" fontId="41" fillId="0" borderId="45" xfId="0" applyNumberFormat="1" applyFont="1" applyFill="1" applyBorder="1" applyAlignment="1">
      <x:alignment horizontal="center" vertical="center" wrapText="1"/>
    </x:xf>
    <x:xf numFmtId="201" fontId="41" fillId="0" borderId="45" xfId="0" applyNumberFormat="1" applyFont="1" applyFill="1" applyBorder="1" applyAlignment="1">
      <x:alignment horizontal="center" vertical="center" wrapText="1"/>
    </x:xf>
    <x:xf numFmtId="206" fontId="41" fillId="0" borderId="45" xfId="0" applyNumberFormat="1" applyFont="1" applyFill="1" applyBorder="1" applyAlignment="1">
      <x:alignment horizontal="center" vertical="center" wrapText="1"/>
    </x:xf>
    <x:xf numFmtId="207" fontId="41" fillId="0" borderId="45" xfId="0" applyNumberFormat="1" applyFont="1" applyFill="1" applyBorder="1" applyAlignment="1">
      <x:alignment horizontal="center" vertical="center" wrapText="1"/>
    </x:xf>
    <x:xf numFmtId="0" fontId="67" fillId="63" borderId="0" xfId="0" applyNumberFormat="1" applyFont="1" applyFill="1" applyBorder="1" applyAlignment="1">
      <x:alignment vertical="center" wrapText="1"/>
    </x:xf>
    <x:xf numFmtId="0" fontId="68" fillId="59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7" fillId="64" borderId="0" xfId="0" applyNumberFormat="1" applyFont="1" applyFill="1" applyBorder="1"/>
    <x:xf numFmtId="0" fontId="7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62" fillId="65" borderId="0" xfId="0" applyNumberFormat="1" applyFont="1" applyFill="1" applyBorder="1"/>
    <x:xf numFmtId="0" fontId="62" fillId="65" borderId="0" xfId="0" applyNumberFormat="1" applyFont="1" applyFill="1" applyBorder="1" applyAlignment="1">
      <x:alignment vertical="center"/>
    </x:xf>
    <x:xf numFmtId="0" fontId="10" fillId="64" borderId="0" xfId="0" applyNumberFormat="1" applyFont="1" applyFill="1" applyBorder="1"/>
    <x:xf numFmtId="0" fontId="10" fillId="64" borderId="0" xfId="0" applyNumberFormat="1" applyFont="1" applyFill="1" applyBorder="1" applyAlignment="1">
      <x:alignment vertical="center"/>
    </x:xf>
    <x:xf numFmtId="0" fontId="0" fillId="66" borderId="0" xfId="0" applyNumberFormat="1" applyFont="1" applyFill="1" applyBorder="1"/>
    <x:xf numFmtId="0" fontId="9" fillId="66" borderId="0" xfId="0" applyNumberFormat="1" applyFont="1" applyFill="1" applyBorder="1"/>
    <x:xf numFmtId="0" fontId="9" fillId="66" borderId="44" xfId="0" applyNumberFormat="1" applyFont="1" applyFill="1" applyBorder="1"/>
    <x:xf numFmtId="0" fontId="9" fillId="66" borderId="44" xfId="0" applyNumberFormat="1" applyFont="1" applyFill="1" applyBorder="1" applyAlignment="1">
      <x:alignment wrapText="1"/>
    </x:xf>
    <x:xf numFmtId="0" fontId="9" fillId="66" borderId="44" xfId="0" applyNumberFormat="1" applyFont="1" applyFill="1" applyBorder="1" applyAlignment="1">
      <x:alignment horizontal="center" wrapText="1"/>
    </x:xf>
    <x:xf numFmtId="0" fontId="9" fillId="66" borderId="44" xfId="0" applyNumberFormat="1" applyFont="1" applyFill="1" applyBorder="1" applyAlignment="1">
      <x:alignment horizontal="center" vertical="center" wrapText="1"/>
    </x:xf>
    <x:xf numFmtId="0" fontId="0" fillId="67" borderId="0" xfId="0" applyNumberFormat="1" applyFont="1" applyFill="1" applyBorder="1"/>
    <x:xf numFmtId="0" fontId="63" fillId="67" borderId="0" xfId="0" applyNumberFormat="1" applyFont="1" applyFill="1" applyBorder="1"/>
    <x:xf numFmtId="0" fontId="63" fillId="67" borderId="0" xfId="0" applyNumberFormat="1" applyFont="1" applyFill="1" applyBorder="1" applyAlignment="1">
      <x:alignment wrapText="1"/>
    </x:xf>
    <x:xf numFmtId="0" fontId="63" fillId="67" borderId="0" xfId="0" applyNumberFormat="1" applyFont="1" applyFill="1" applyBorder="1" applyAlignment="1">
      <x:alignment vertical="center" wrapText="1"/>
    </x:xf>
    <x:xf numFmtId="0" fontId="64" fillId="64" borderId="0" xfId="0" applyNumberFormat="1" applyFont="1" applyFill="1" applyBorder="1" applyAlignment="1">
      <x:alignment vertical="center"/>
    </x:xf>
    <x:xf numFmtId="0" fontId="65" fillId="65" borderId="0" xfId="0" applyNumberFormat="1" applyFont="1" applyFill="1" applyBorder="1" applyAlignment="1">
      <x:alignment vertical="center"/>
    </x:xf>
    <x:xf numFmtId="0" fontId="66" fillId="64" borderId="0" xfId="0" applyNumberFormat="1" applyFont="1" applyFill="1" applyBorder="1" applyAlignment="1">
      <x:alignment vertical="center"/>
    </x:xf>
    <x:xf numFmtId="0" fontId="42" fillId="66" borderId="44" xfId="0" applyNumberFormat="1" applyFont="1" applyFill="1" applyBorder="1" applyAlignment="1">
      <x:alignment horizontal="center" vertical="center" wrapText="1"/>
    </x:xf>
    <x:xf numFmtId="0" fontId="67" fillId="67" borderId="0" xfId="0" applyNumberFormat="1" applyFont="1" applyFill="1" applyBorder="1" applyAlignment="1">
      <x:alignment vertical="center" wrapText="1"/>
    </x:xf>
    <x:xf numFmtId="0" fontId="68" fillId="64" borderId="0" xfId="0" applyNumberFormat="1" applyFont="1" applyFill="1" applyBorder="1" applyAlignment="1">
      <x:alignment vertical="center"/>
    </x:xf>
    <x:xf numFmtId="210" fontId="41" fillId="0" xfId="0" applyNumberFormat="1" applyFont="1" applyFill="1" applyBorder="0" applyAlignment="1">
      <x:alignment horizontal="center" vertical="center" wrapText="1"/>
    </x:xf>
    <x:xf numFmtId="210" fontId="41" fillId="0" borderId="45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7" fillId="68" borderId="0" xfId="0" applyNumberFormat="1" applyFont="1" applyFill="1" applyBorder="1"/>
    <x:xf numFmtId="0" fontId="7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62" fillId="69" borderId="0" xfId="0" applyNumberFormat="1" applyFont="1" applyFill="1" applyBorder="1"/>
    <x:xf numFmtId="0" fontId="62" fillId="69" borderId="0" xfId="0" applyNumberFormat="1" applyFont="1" applyFill="1" applyBorder="1" applyAlignment="1">
      <x:alignment vertical="center"/>
    </x:xf>
    <x:xf numFmtId="0" fontId="10" fillId="68" borderId="0" xfId="0" applyNumberFormat="1" applyFont="1" applyFill="1" applyBorder="1"/>
    <x:xf numFmtId="0" fontId="10" fillId="68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0" fontId="9" fillId="70" borderId="0" xfId="0" applyNumberFormat="1" applyFont="1" applyFill="1" applyBorder="1"/>
    <x:xf numFmtId="0" fontId="9" fillId="70" borderId="44" xfId="0" applyNumberFormat="1" applyFont="1" applyFill="1" applyBorder="1"/>
    <x:xf numFmtId="0" fontId="9" fillId="70" borderId="44" xfId="0" applyNumberFormat="1" applyFont="1" applyFill="1" applyBorder="1" applyAlignment="1">
      <x:alignment wrapText="1"/>
    </x:xf>
    <x:xf numFmtId="0" fontId="9" fillId="70" borderId="44" xfId="0" applyNumberFormat="1" applyFont="1" applyFill="1" applyBorder="1" applyAlignment="1">
      <x:alignment horizontal="center" wrapText="1"/>
    </x:xf>
    <x:xf numFmtId="0" fontId="9" fillId="70" borderId="44" xfId="0" applyNumberFormat="1" applyFont="1" applyFill="1" applyBorder="1" applyAlignment="1">
      <x:alignment horizontal="center" vertical="center" wrapText="1"/>
    </x:xf>
    <x:xf numFmtId="0" fontId="0" fillId="71" borderId="0" xfId="0" applyNumberFormat="1" applyFont="1" applyFill="1" applyBorder="1"/>
    <x:xf numFmtId="0" fontId="63" fillId="71" borderId="0" xfId="0" applyNumberFormat="1" applyFont="1" applyFill="1" applyBorder="1"/>
    <x:xf numFmtId="0" fontId="63" fillId="71" borderId="0" xfId="0" applyNumberFormat="1" applyFont="1" applyFill="1" applyBorder="1" applyAlignment="1">
      <x:alignment wrapText="1"/>
    </x:xf>
    <x:xf numFmtId="0" fontId="63" fillId="71" borderId="0" xfId="0" applyNumberFormat="1" applyFont="1" applyFill="1" applyBorder="1" applyAlignment="1">
      <x:alignment vertical="center" wrapText="1"/>
    </x:xf>
    <x:xf numFmtId="0" fontId="64" fillId="68" borderId="0" xfId="0" applyNumberFormat="1" applyFont="1" applyFill="1" applyBorder="1" applyAlignment="1">
      <x:alignment vertical="center"/>
    </x:xf>
    <x:xf numFmtId="0" fontId="65" fillId="69" borderId="0" xfId="0" applyNumberFormat="1" applyFont="1" applyFill="1" applyBorder="1" applyAlignment="1">
      <x:alignment vertical="center"/>
    </x:xf>
    <x:xf numFmtId="0" fontId="66" fillId="68" borderId="0" xfId="0" applyNumberFormat="1" applyFont="1" applyFill="1" applyBorder="1" applyAlignment="1">
      <x:alignment vertical="center"/>
    </x:xf>
    <x:xf numFmtId="0" fontId="42" fillId="70" borderId="44" xfId="0" applyNumberFormat="1" applyFont="1" applyFill="1" applyBorder="1" applyAlignment="1">
      <x:alignment horizontal="center" vertical="center" wrapText="1"/>
    </x:xf>
    <x:xf numFmtId="0" fontId="67" fillId="71" borderId="0" xfId="0" applyNumberFormat="1" applyFont="1" applyFill="1" applyBorder="1" applyAlignment="1">
      <x:alignment vertical="center" wrapText="1"/>
    </x:xf>
    <x:xf numFmtId="0" fontId="68" fillId="68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7" fillId="72" borderId="0" xfId="0" applyNumberFormat="1" applyFont="1" applyFill="1" applyBorder="1"/>
    <x:xf numFmtId="0" fontId="7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62" fillId="73" borderId="0" xfId="0" applyNumberFormat="1" applyFont="1" applyFill="1" applyBorder="1"/>
    <x:xf numFmtId="0" fontId="62" fillId="73" borderId="0" xfId="0" applyNumberFormat="1" applyFont="1" applyFill="1" applyBorder="1" applyAlignment="1">
      <x:alignment vertical="center"/>
    </x:xf>
    <x:xf numFmtId="0" fontId="10" fillId="72" borderId="0" xfId="0" applyNumberFormat="1" applyFont="1" applyFill="1" applyBorder="1"/>
    <x:xf numFmtId="0" fontId="10" fillId="72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9" fillId="74" borderId="0" xfId="0" applyNumberFormat="1" applyFont="1" applyFill="1" applyBorder="1"/>
    <x:xf numFmtId="0" fontId="9" fillId="74" borderId="44" xfId="0" applyNumberFormat="1" applyFont="1" applyFill="1" applyBorder="1"/>
    <x:xf numFmtId="0" fontId="9" fillId="74" borderId="44" xfId="0" applyNumberFormat="1" applyFont="1" applyFill="1" applyBorder="1" applyAlignment="1">
      <x:alignment wrapText="1"/>
    </x:xf>
    <x:xf numFmtId="0" fontId="9" fillId="74" borderId="44" xfId="0" applyNumberFormat="1" applyFont="1" applyFill="1" applyBorder="1" applyAlignment="1">
      <x:alignment horizontal="center" wrapText="1"/>
    </x:xf>
    <x:xf numFmtId="0" fontId="9" fillId="74" borderId="44" xfId="0" applyNumberFormat="1" applyFont="1" applyFill="1" applyBorder="1" applyAlignment="1">
      <x:alignment horizontal="center" vertical="center" wrapText="1"/>
    </x:xf>
    <x:xf numFmtId="210" fontId="0" fillId="0" xfId="0" applyNumberFormat="1" applyFont="1" applyFill="1" applyBorder="0" applyAlignment="1">
      <x:alignment horizontal="center" vertical="center" wrapText="1"/>
    </x:xf>
    <x:xf numFmtId="210" fontId="0" fillId="0" borderId="45" xfId="0" applyNumberFormat="1" applyFont="1" applyFill="1" applyBorder="1" applyAlignment="1">
      <x:alignment horizontal="center" vertical="center" wrapText="1"/>
    </x:xf>
    <x:xf numFmtId="0" fontId="0" fillId="75" borderId="0" xfId="0" applyNumberFormat="1" applyFont="1" applyFill="1" applyBorder="1"/>
    <x:xf numFmtId="0" fontId="63" fillId="75" borderId="0" xfId="0" applyNumberFormat="1" applyFont="1" applyFill="1" applyBorder="1"/>
    <x:xf numFmtId="0" fontId="63" fillId="75" borderId="0" xfId="0" applyNumberFormat="1" applyFont="1" applyFill="1" applyBorder="1" applyAlignment="1">
      <x:alignment wrapText="1"/>
    </x:xf>
    <x:xf numFmtId="0" fontId="63" fillId="75" borderId="0" xfId="0" applyNumberFormat="1" applyFont="1" applyFill="1" applyBorder="1" applyAlignment="1">
      <x:alignment vertical="center" wrapText="1"/>
    </x:xf>
    <x:xf numFmtId="0" fontId="64" fillId="72" borderId="0" xfId="0" applyNumberFormat="1" applyFont="1" applyFill="1" applyBorder="1" applyAlignment="1">
      <x:alignment vertical="center"/>
    </x:xf>
    <x:xf numFmtId="0" fontId="65" fillId="73" borderId="0" xfId="0" applyNumberFormat="1" applyFont="1" applyFill="1" applyBorder="1" applyAlignment="1">
      <x:alignment vertical="center"/>
    </x:xf>
    <x:xf numFmtId="0" fontId="66" fillId="72" borderId="0" xfId="0" applyNumberFormat="1" applyFont="1" applyFill="1" applyBorder="1" applyAlignment="1">
      <x:alignment vertical="center"/>
    </x:xf>
    <x:xf numFmtId="0" fontId="42" fillId="74" borderId="44" xfId="0" applyNumberFormat="1" applyFont="1" applyFill="1" applyBorder="1" applyAlignment="1">
      <x:alignment horizontal="center" vertical="center" wrapText="1"/>
    </x:xf>
    <x:xf numFmtId="0" fontId="67" fillId="75" borderId="0" xfId="0" applyNumberFormat="1" applyFont="1" applyFill="1" applyBorder="1" applyAlignment="1">
      <x:alignment vertical="center" wrapText="1"/>
    </x:xf>
    <x:xf numFmtId="0" fontId="68" fillId="7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1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color rgb="FF176B3A"/>
      </x:font>
      <x:fill>
        <x:patternFill>
          <x:bgColor rgb="FFD7F0DF"/>
        </x:patternFill>
      </x:fill>
    </x:dxf>
    <x:dxf>
      <x:font>
        <x:color rgb="FFA93333"/>
      </x:font>
      <x:fill>
        <x:patternFill>
          <x:bgColor rgb="FFFADADA"/>
        </x:patternFill>
      </x:fill>
    </x:dxf>
    <x:dxf>
      <x:font>
        <x:color rgb="FF176B3A"/>
      </x:font>
      <x:fill>
        <x:patternFill>
          <x:bgColor rgb="FFD7F0DF"/>
        </x:patternFill>
      </x:fill>
    </x:dxf>
    <x:dxf>
      <x:font>
        <x:color rgb="FFA33A32"/>
      </x:font>
      <x:fill>
        <x:patternFill>
          <x:bgColor rgb="FFF8D7DA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7F6000"/>
      </x:font>
      <x:fill>
        <x:patternFill>
          <x:bgColor rgb="FFFCE8B2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7F6000"/>
      </x:font>
      <x:fill>
        <x:patternFill>
          <x:bgColor rgb="FFFCE8B2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7F6000"/>
      </x:font>
      <x:fill>
        <x:patternFill>
          <x:bgColor rgb="FFFCE8B2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7F6000"/>
      </x:font>
      <x:fill>
        <x:patternFill>
          <x:bgColor rgb="FFFCE8B2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7F6000"/>
      </x:font>
      <x:fill>
        <x:patternFill>
          <x:bgColor rgb="FFFCE8B2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7F6000"/>
      </x:font>
      <x:fill>
        <x:patternFill>
          <x:bgColor rgb="FFFCE8B2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CE8B2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CE8B2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CE8B2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7F6000"/>
      </x:font>
      <x:fill>
        <x:patternFill patternType="solid">
          <x:bgColor rgb="FFFC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4837465904c8e" /><Relationship Type="http://schemas.openxmlformats.org/officeDocument/2006/relationships/theme" Target="/xl/theme/theme1.xml" Id="R5148af2b9aa44695" /><Relationship Type="http://schemas.openxmlformats.org/officeDocument/2006/relationships/sharedStrings" Target="/xl/sharedStrings.xml" Id="Rcd6faeeb629144a1" /><Relationship Type="http://schemas.openxmlformats.org/officeDocument/2006/relationships/worksheet" Target="/xl/worksheets/sheet1.xml" Id="R2ac6e7c8dac0468b" /><Relationship Type="http://schemas.openxmlformats.org/officeDocument/2006/relationships/worksheet" Target="/xl/worksheets/sheet2.xml" Id="R24be52d7fa6c41f1" /><Relationship Type="http://schemas.openxmlformats.org/officeDocument/2006/relationships/worksheet" Target="/xl/worksheets/sheet3.xml" Id="R3854ac69b6034ff3" /><Relationship Type="http://schemas.openxmlformats.org/officeDocument/2006/relationships/worksheet" Target="/xl/worksheets/sheet4.xml" Id="R17b5426181de47a0" /><Relationship Type="http://schemas.openxmlformats.org/officeDocument/2006/relationships/worksheet" Target="/xl/worksheets/sheet5.xml" Id="R5556738061c7489a" /><Relationship Type="http://schemas.openxmlformats.org/officeDocument/2006/relationships/worksheet" Target="/xl/worksheets/sheet6.xml" Id="R83932728bde9483c" /><Relationship Type="http://schemas.openxmlformats.org/officeDocument/2006/relationships/worksheet" Target="/xl/worksheets/sheet7.xml" Id="R15188205ec784a69" /><Relationship Type="http://schemas.openxmlformats.org/officeDocument/2006/relationships/worksheet" Target="/xl/worksheets/sheet8.xml" Id="Rbbae617535cf43c2" /><Relationship Type="http://schemas.openxmlformats.org/officeDocument/2006/relationships/worksheet" Target="/xl/worksheets/sheet9.xml" Id="Rf979a54f89c547cb" /><Relationship Type="http://schemas.openxmlformats.org/officeDocument/2006/relationships/worksheet" Target="/xl/worksheets/sheet10.xml" Id="R14fc54e5fd7d40af" /><Relationship Type="http://schemas.openxmlformats.org/officeDocument/2006/relationships/worksheet" Target="/xl/worksheets/sheet11.xml" Id="R68ce33e8ec1d485b" /><Relationship Type="http://schemas.openxmlformats.org/officeDocument/2006/relationships/worksheet" Target="/xl/worksheets/sheet12.xml" Id="R9c1cf84d70274491" /><Relationship Type="http://schemas.openxmlformats.org/officeDocument/2006/relationships/worksheet" Target="/xl/worksheets/sheet13.xml" Id="R2b6a08b12658444a" /><Relationship Type="http://schemas.openxmlformats.org/officeDocument/2006/relationships/worksheet" Target="/xl/worksheets/sheet14.xml" Id="Rbbec5f9f4f6d48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32" t="str">
        <x:v>Hybrid Sparse Output-Tile Reuse</x:v>
      </x:c>
      <x:c r="B1" s="532"/>
      <x:c r="C1" s="532"/>
      <x:c r="D1" s="532"/>
      <x:c r="E1" s="532"/>
      <x:c r="F1" s="532"/>
      <x:c r="G1" s="532"/>
    </x:row>
    <x:row r="2" ht="22" customHeight="1">
      <x:c r="A2" s="533" t="str">
        <x:v>NVIDIA H20 | BF16 input/output | FP32 accumulation | M x N x K = 4096 x 2048 x 1408 | L2 flush disabled</x:v>
      </x:c>
      <x:c r="B2" s="533"/>
      <x:c r="C2" s="533"/>
      <x:c r="D2" s="533"/>
      <x:c r="E2" s="533"/>
      <x:c r="F2" s="533"/>
      <x:c r="G2" s="533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534" t="str">
        <x:v>Version</x:v>
      </x:c>
      <x:c r="B4" s="535" t="str">
        <x:v>Run 1 (us)</x:v>
      </x:c>
      <x:c r="C4" s="535" t="str">
        <x:v>Run 2 (us)</x:v>
      </x:c>
      <x:c r="D4" s="535" t="str">
        <x:v>Run 3 (us)</x:v>
      </x:c>
      <x:c r="E4" s="535" t="str">
        <x:v>Average (us)</x:v>
      </x:c>
      <x:c r="F4" s="535" t="str">
        <x:v>Paired speedup</x:v>
      </x:c>
      <x:c r="G4" s="535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543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544" t="str">
        <x:v>Retained</x:v>
      </x:c>
    </x:row>
    <x:row r="7" ht="20" customHeight="1">
      <x:c r="A7" s="553" t="str">
        <x:v>Stage kind</x:v>
      </x:c>
      <x:c r="B7" s="554" t="n">
        <x:v>144.07</x:v>
      </x:c>
      <x:c r="C7" s="554" t="n">
        <x:v>144.4</x:v>
      </x:c>
      <x:c r="D7" s="554" t="n">
        <x:v>144.33</x:v>
      </x:c>
      <x:c r="E7" s="554" t="n">
        <x:f>AVERAGE(B7:D7)</x:f>
        <x:v>144.26666666666668</x:v>
      </x:c>
      <x:c r="F7" s="555" t="n">
        <x:f>AVERAGE($B$9/B7,$C$9/C7,$D$9/D7)</x:f>
        <x:v>1.2603285021897923</x:v>
      </x:c>
      <x:c r="G7" s="556" t="str">
        <x:v>Current best</x:v>
      </x:c>
    </x:row>
    <x:row r="8" ht="20" customHeight="1">
      <x:c r="A8" s="557" t="str">
        <x:v>Stage selector</x:v>
      </x:c>
      <x:c r="B8" s="558" t="n">
        <x:v>144.24</x:v>
      </x:c>
      <x:c r="C8" s="558" t="n">
        <x:v>145.22</x:v>
      </x:c>
      <x:c r="D8" s="558" t="n">
        <x:v>144.61</x:v>
      </x:c>
      <x:c r="E8" s="558" t="n">
        <x:f>AVERAGE(B8:D8)</x:f>
        <x:v>144.69000000000003</x:v>
      </x:c>
      <x:c r="F8" s="559" t="n">
        <x:f>AVERAGE($B$9/B8,$C$9/C8,$D$9/D8)</x:f>
        <x:v>1.256650106303988</x:v>
      </x:c>
      <x:c r="G8" s="560" t="str">
        <x:v>Not adopted</x:v>
      </x:c>
    </x:row>
    <x:row r="9" ht="20" customHeight="1">
      <x:c r="A9" s="561" t="str">
        <x:v>DeepGEMM</x:v>
      </x:c>
      <x:c r="B9" s="562" t="n">
        <x:v>181.6</x:v>
      </x:c>
      <x:c r="C9" s="562" t="n">
        <x:v>181.72</x:v>
      </x:c>
      <x:c r="D9" s="562" t="n">
        <x:v>182.15</x:v>
      </x:c>
      <x:c r="E9" s="562" t="n">
        <x:f>AVERAGE(B9:D9)</x:f>
        <x:v>181.82333333333335</x:v>
      </x:c>
      <x:c r="F9" s="563" t="n">
        <x:v>1</x:v>
      </x:c>
      <x:c r="G9" s="564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540" t="str">
        <x:v>Paired NCU Comparison at 4096 x 2048 x 1408</x:v>
      </x:c>
      <x:c r="B12" s="541"/>
      <x:c r="C12" s="541"/>
      <x:c r="D12" s="541"/>
      <x:c r="E12" s="541"/>
      <x:c r="F12" s="513"/>
      <x:c r="G12" s="488"/>
    </x:row>
    <x:row r="13" ht="30" customHeight="1">
      <x:c r="A13" s="534" t="str">
        <x:v>Metric</x:v>
      </x:c>
      <x:c r="B13" s="538" t="str">
        <x:v>Output 128x64</x:v>
      </x:c>
      <x:c r="C13" s="538" t="str">
        <x:v>Stage kind</x:v>
      </x:c>
      <x:c r="D13" s="538" t="str">
        <x:v>DeepGEMM</x:v>
      </x:c>
      <x:c r="E13" s="538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51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52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52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52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52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52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52" t="n">
        <x:f>C20/B20-1</x:f>
        <x:v>-0.32258377592018983</x:v>
      </x:c>
      <x:c r="F20" s="513"/>
      <x:c r="G20" s="488"/>
    </x:row>
    <x:row r="21" ht="20" customHeight="1">
      <x:c r="A21" s="496" t="str">
        <x:v>Long scoreboard (cycles / inst)</x:v>
      </x:c>
      <x:c r="B21" s="520" t="n">
        <x:v>0.922514</x:v>
      </x:c>
      <x:c r="C21" s="520" t="n">
        <x:v>1.159809</x:v>
      </x:c>
      <x:c r="D21" s="520" t="n">
        <x:v>7.893343</x:v>
      </x:c>
      <x:c r="E21" s="552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540" t="str">
        <x:v>Current-Best Kernel Configuration</x:v>
      </x:c>
      <x:c r="B24" s="542"/>
      <x:c r="C24" s="542"/>
      <x:c r="D24" s="542"/>
      <x:c r="E24" s="542"/>
      <x:c r="F24" s="488"/>
      <x:c r="G24" s="488"/>
    </x:row>
    <x:row r="25" ht="20" customHeight="1">
      <x:c r="A25" s="565" t="str">
        <x:v>Weight block / weight tile</x:v>
      </x:c>
      <x:c r="B25" s="543" t="str">
        <x:v>64 x 64</x:v>
      </x:c>
      <x:c r="C25" s="488"/>
      <x:c r="D25" s="488"/>
      <x:c r="E25" s="488"/>
      <x:c r="F25" s="488"/>
      <x:c r="G25" s="488"/>
    </x:row>
    <x:row r="26" ht="20" customHeight="1">
      <x:c r="A26" s="566" t="str">
        <x:v>Output tile</x:v>
      </x:c>
      <x:c r="B26" s="544" t="str">
        <x:v>128 x 64</x:v>
      </x:c>
      <x:c r="C26" s="488"/>
      <x:c r="D26" s="488"/>
      <x:c r="E26" s="488"/>
      <x:c r="F26" s="488"/>
      <x:c r="G26" s="488"/>
    </x:row>
    <x:row r="27" ht="20" customHeight="1">
      <x:c r="A27" s="566" t="str">
        <x:v>Math warpgroup</x:v>
      </x:c>
      <x:c r="B27" s="544" t="str">
        <x:v>2</x:v>
      </x:c>
      <x:c r="C27" s="488"/>
      <x:c r="D27" s="488"/>
      <x:c r="E27" s="488"/>
      <x:c r="F27" s="488"/>
      <x:c r="G27" s="488"/>
    </x:row>
    <x:row r="28" ht="20" customHeight="1">
      <x:c r="A28" s="566" t="str">
        <x:v>Threads / CTA</x:v>
      </x:c>
      <x:c r="B28" s="544" t="str">
        <x:v>384</x:v>
      </x:c>
      <x:c r="C28" s="488"/>
      <x:c r="D28" s="488"/>
      <x:c r="E28" s="488"/>
      <x:c r="F28" s="488"/>
      <x:c r="G28" s="488"/>
    </x:row>
    <x:row r="29" ht="20" customHeight="1">
      <x:c r="A29" s="566" t="str">
        <x:v>TMA pipeline stages</x:v>
      </x:c>
      <x:c r="B29" s="544" t="str">
        <x:v>3</x:v>
      </x:c>
      <x:c r="C29" s="488"/>
      <x:c r="D29" s="488"/>
      <x:c r="E29" s="488"/>
      <x:c r="F29" s="488"/>
      <x:c r="G29" s="488"/>
    </x:row>
    <x:row r="30" ht="20" customHeight="1">
      <x:c r="A30" s="566" t="str">
        <x:v>Persistent occupancy target</x:v>
      </x:c>
      <x:c r="B30" s="544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67" t="str">
        <x:v>Result: stage-kind reached 1.261x, 1.259x, and 1.262x over DeepGEMM in three paired 100-iteration runs. The broader shape sweep showed scheduling noise, so only the repeated target result is treated as verified.</x:v>
      </x:c>
      <x:c r="B32" s="568"/>
      <x:c r="C32" s="568"/>
      <x:c r="D32" s="568"/>
      <x:c r="E32" s="568"/>
      <x:c r="F32" s="568"/>
      <x:c r="G32" s="568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13" hidden="0" customWidth="1"/>
    <x:col min="6" max="6" width="13" hidden="0" customWidth="1"/>
  </x:cols>
  <x:sheetData>
    <x:row r="1" ht="28" customHeight="1">
      <x:c r="A1" s="532" t="str">
        <x:v>Current-Best Kernel: All Specified Shapes</x:v>
      </x:c>
      <x:c r="B1" s="532"/>
      <x:c r="C1" s="532"/>
      <x:c r="D1" s="532"/>
      <x:c r="E1" s="532"/>
      <x:c r="F1" s="532"/>
    </x:row>
    <x:row r="2" ht="22" customHeight="1">
      <x:c r="A2" s="533" t="str">
        <x:v>NVIDIA H20 | BF16 input/output | FP32 accumulation | no L2 flush | stage-kind kernel vs DeepGEMM</x:v>
      </x:c>
      <x:c r="B2" s="533"/>
      <x:c r="C2" s="533"/>
      <x:c r="D2" s="533"/>
      <x:c r="E2" s="533"/>
      <x:c r="F2" s="533"/>
    </x:row>
    <x:row r="3">
      <x:c r="A3" s="488"/>
      <x:c r="B3" s="488"/>
      <x:c r="C3" s="488"/>
      <x:c r="D3" s="488"/>
      <x:c r="E3" s="488"/>
      <x:c r="F3" s="488"/>
    </x:row>
    <x:row r="4" ht="30" customHeight="1">
      <x:c r="A4" s="614" t="str">
        <x:v>Shape (M x N x K)</x:v>
      </x:c>
      <x:c r="B4" s="614" t="str">
        <x:v>Hybrid median (us)</x:v>
      </x:c>
      <x:c r="C4" s="614" t="str">
        <x:v>DeepGEMM median (us)</x:v>
      </x:c>
      <x:c r="D4" s="614" t="str">
        <x:v>Paired speedup median</x:v>
      </x:c>
      <x:c r="E4" s="614" t="str">
        <x:v>Repeats</x:v>
      </x:c>
      <x:c r="F4" s="614" t="str">
        <x:v>Result</x:v>
      </x:c>
    </x:row>
    <x:row r="5">
      <x:c r="A5" s="615" t="str">
        <x:v>128 x 1408 x 2048</x:v>
      </x:c>
      <x:c r="B5" s="518" t="n">
        <x:v>18.288</x:v>
      </x:c>
      <x:c r="C5" s="518" t="n">
        <x:v>10.374</x:v>
      </x:c>
      <x:c r="D5" s="494" t="n">
        <x:v>0.54395</x:v>
      </x:c>
      <x:c r="E5" s="616" t="n">
        <x:v>3</x:v>
      </x:c>
      <x:c r="F5" s="495" t="str">
        <x:f>IF(D5&gt;=1,"Faster","Slower")</x:f>
        <x:v>Slower</x:v>
      </x:c>
    </x:row>
    <x:row r="6">
      <x:c r="A6" s="617" t="str">
        <x:v>128 x 2048 x 1408</x:v>
      </x:c>
      <x:c r="B6" s="520" t="n">
        <x:v>13.804</x:v>
      </x:c>
      <x:c r="C6" s="520" t="n">
        <x:v>8.588</x:v>
      </x:c>
      <x:c r="D6" s="498" t="n">
        <x:v>0.65502</x:v>
      </x:c>
      <x:c r="E6" s="618" t="n">
        <x:v>3</x:v>
      </x:c>
      <x:c r="F6" s="499" t="str">
        <x:f>IF(D6&gt;=1,"Faster","Slower")</x:f>
        <x:v>Slower</x:v>
      </x:c>
    </x:row>
    <x:row r="7">
      <x:c r="A7" s="617" t="str">
        <x:v>256 x 1408 x 2048</x:v>
      </x:c>
      <x:c r="B7" s="520" t="n">
        <x:v>18.318</x:v>
      </x:c>
      <x:c r="C7" s="520" t="n">
        <x:v>14.534</x:v>
      </x:c>
      <x:c r="D7" s="498" t="n">
        <x:v>0.781972</x:v>
      </x:c>
      <x:c r="E7" s="618" t="n">
        <x:v>3</x:v>
      </x:c>
      <x:c r="F7" s="499" t="str">
        <x:f>IF(D7&gt;=1,"Faster","Slower")</x:f>
        <x:v>Slower</x:v>
      </x:c>
    </x:row>
    <x:row r="8">
      <x:c r="A8" s="617" t="str">
        <x:v>256 x 2048 x 1408</x:v>
      </x:c>
      <x:c r="B8" s="520" t="n">
        <x:v>13.613</x:v>
      </x:c>
      <x:c r="C8" s="520" t="n">
        <x:v>13.489</x:v>
      </x:c>
      <x:c r="D8" s="498" t="n">
        <x:v>1.005102</x:v>
      </x:c>
      <x:c r="E8" s="618" t="n">
        <x:v>3</x:v>
      </x:c>
      <x:c r="F8" s="499" t="str">
        <x:f>IF(D8&gt;=1,"Faster","Slower")</x:f>
        <x:v>Faster</x:v>
      </x:c>
    </x:row>
    <x:row r="9">
      <x:c r="A9" s="617" t="str">
        <x:v>512 x 1408 x 2048</x:v>
      </x:c>
      <x:c r="B9" s="520" t="n">
        <x:v>57.813</x:v>
      </x:c>
      <x:c r="C9" s="520" t="n">
        <x:v>50.62</x:v>
      </x:c>
      <x:c r="D9" s="498" t="n">
        <x:v>0.869215</x:v>
      </x:c>
      <x:c r="E9" s="618" t="n">
        <x:v>7</x:v>
      </x:c>
      <x:c r="F9" s="499" t="str">
        <x:f>IF(D9&gt;=1,"Faster","Slower")</x:f>
        <x:v>Slower</x:v>
      </x:c>
    </x:row>
    <x:row r="10">
      <x:c r="A10" s="617" t="str">
        <x:v>512 x 2048 x 1408</x:v>
      </x:c>
      <x:c r="B10" s="520" t="n">
        <x:v>47.783</x:v>
      </x:c>
      <x:c r="C10" s="520" t="n">
        <x:v>49.467</x:v>
      </x:c>
      <x:c r="D10" s="498" t="n">
        <x:v>1.037029</x:v>
      </x:c>
      <x:c r="E10" s="618" t="n">
        <x:v>7</x:v>
      </x:c>
      <x:c r="F10" s="499" t="str">
        <x:f>IF(D10&gt;=1,"Faster","Slower")</x:f>
        <x:v>Faster</x:v>
      </x:c>
    </x:row>
    <x:row r="11">
      <x:c r="A11" s="617" t="str">
        <x:v>1024 x 1408 x 2048</x:v>
      </x:c>
      <x:c r="B11" s="520" t="n">
        <x:v>96.664</x:v>
      </x:c>
      <x:c r="C11" s="520" t="n">
        <x:v>99.172</x:v>
      </x:c>
      <x:c r="D11" s="498" t="n">
        <x:v>1.018104</x:v>
      </x:c>
      <x:c r="E11" s="618" t="n">
        <x:v>7</x:v>
      </x:c>
      <x:c r="F11" s="499" t="str">
        <x:f>IF(D11&gt;=1,"Faster","Slower")</x:f>
        <x:v>Faster</x:v>
      </x:c>
    </x:row>
    <x:row r="12">
      <x:c r="A12" s="617" t="str">
        <x:v>1024 x 2048 x 1408</x:v>
      </x:c>
      <x:c r="B12" s="520" t="n">
        <x:v>92.811</x:v>
      </x:c>
      <x:c r="C12" s="520" t="n">
        <x:v>97.045</x:v>
      </x:c>
      <x:c r="D12" s="498" t="n">
        <x:v>1.046104</x:v>
      </x:c>
      <x:c r="E12" s="618" t="n">
        <x:v>7</x:v>
      </x:c>
      <x:c r="F12" s="499" t="str">
        <x:f>IF(D12&gt;=1,"Faster","Slower")</x:f>
        <x:v>Faster</x:v>
      </x:c>
    </x:row>
    <x:row r="13">
      <x:c r="A13" s="617" t="str">
        <x:v>2048 x 1408 x 2048</x:v>
      </x:c>
      <x:c r="B13" s="520" t="n">
        <x:v>151.47</x:v>
      </x:c>
      <x:c r="C13" s="520" t="n">
        <x:v>194.308</x:v>
      </x:c>
      <x:c r="D13" s="498" t="n">
        <x:v>1.281488</x:v>
      </x:c>
      <x:c r="E13" s="618" t="n">
        <x:v>3</x:v>
      </x:c>
      <x:c r="F13" s="499" t="str">
        <x:f>IF(D13&gt;=1,"Faster","Slower")</x:f>
        <x:v>Faster</x:v>
      </x:c>
    </x:row>
    <x:row r="14">
      <x:c r="A14" s="617" t="str">
        <x:v>2048 x 2048 x 1408</x:v>
      </x:c>
      <x:c r="B14" s="520" t="n">
        <x:v>74.663</x:v>
      </x:c>
      <x:c r="C14" s="520" t="n">
        <x:v>93.136</x:v>
      </x:c>
      <x:c r="D14" s="498" t="n">
        <x:v>1.245302</x:v>
      </x:c>
      <x:c r="E14" s="618" t="n">
        <x:v>3</x:v>
      </x:c>
      <x:c r="F14" s="499" t="str">
        <x:f>IF(D14&gt;=1,"Faster","Slower")</x:f>
        <x:v>Faster</x:v>
      </x:c>
    </x:row>
    <x:row r="15">
      <x:c r="A15" s="617" t="str">
        <x:v>4096 x 1408 x 2048</x:v>
      </x:c>
      <x:c r="B15" s="520" t="n">
        <x:v>149.449</x:v>
      </x:c>
      <x:c r="C15" s="520" t="n">
        <x:v>184.406</x:v>
      </x:c>
      <x:c r="D15" s="498" t="n">
        <x:v>1.224565</x:v>
      </x:c>
      <x:c r="E15" s="618" t="n">
        <x:v>3</x:v>
      </x:c>
      <x:c r="F15" s="499" t="str">
        <x:f>IF(D15&gt;=1,"Faster","Slower")</x:f>
        <x:v>Faster</x:v>
      </x:c>
    </x:row>
    <x:row r="16">
      <x:c r="A16" s="619" t="str">
        <x:v>4096 x 2048 x 1408</x:v>
      </x:c>
      <x:c r="B16" s="524" t="n">
        <x:v>144.589</x:v>
      </x:c>
      <x:c r="C16" s="524" t="n">
        <x:v>181.909</x:v>
      </x:c>
      <x:c r="D16" s="620" t="n">
        <x:v>1.25736</x:v>
      </x:c>
      <x:c r="E16" s="621" t="n">
        <x:v>3</x:v>
      </x:c>
      <x:c r="F16" s="529" t="str">
        <x:f>IF(D16&gt;=1,"Faster","Slower")</x:f>
        <x:v>Faster</x:v>
      </x:c>
    </x:row>
    <x:row r="17">
      <x:c r="A17" s="488"/>
      <x:c r="B17" s="488"/>
      <x:c r="C17" s="488"/>
      <x:c r="D17" s="488"/>
      <x:c r="E17" s="488"/>
      <x:c r="F17" s="488"/>
    </x:row>
    <x:row r="18">
      <x:c r="A18" s="488"/>
      <x:c r="B18" s="488"/>
      <x:c r="C18" s="488"/>
      <x:c r="D18" s="488"/>
      <x:c r="E18" s="488"/>
      <x:c r="F18" s="488"/>
    </x:row>
    <x:row r="19" ht="23" customHeight="1">
      <x:c r="A19" s="542" t="str">
        <x:v>Summary</x:v>
      </x:c>
      <x:c r="B19" s="542"/>
      <x:c r="C19" s="542"/>
      <x:c r="D19" s="542"/>
      <x:c r="E19" s="488"/>
      <x:c r="F19" s="488"/>
    </x:row>
    <x:row r="20">
      <x:c r="A20" s="622" t="str">
        <x:v>Shapes faster than DeepGEMM</x:v>
      </x:c>
      <x:c r="B20" s="495" t="n">
        <x:f>COUNTIF(D5:D16,"&gt;=1")</x:f>
        <x:v>8</x:v>
      </x:c>
      <x:c r="C20" s="488"/>
      <x:c r="D20" s="488"/>
      <x:c r="E20" s="488"/>
      <x:c r="F20" s="488"/>
    </x:row>
    <x:row r="21">
      <x:c r="A21" s="623" t="str">
        <x:v>Shapes reaching at least 1.25x</x:v>
      </x:c>
      <x:c r="B21" s="499" t="n">
        <x:f>COUNTIF(D5:D16,"&gt;=1.25")</x:f>
        <x:v>2</x:v>
      </x:c>
      <x:c r="C21" s="488"/>
      <x:c r="D21" s="488"/>
      <x:c r="E21" s="488"/>
      <x:c r="F21" s="488"/>
    </x:row>
    <x:row r="22">
      <x:c r="A22" s="623" t="str">
        <x:v>Best shape</x:v>
      </x:c>
      <x:c r="B22" s="499" t="str">
        <x:v>2048 x 1408 x 2048</x:v>
      </x:c>
      <x:c r="C22" s="488"/>
      <x:c r="D22" s="488"/>
      <x:c r="E22" s="488"/>
      <x:c r="F22" s="488"/>
    </x:row>
    <x:row r="23">
      <x:c r="A23" s="624" t="str">
        <x:v>Best median speedup</x:v>
      </x:c>
      <x:c r="B23" s="625" t="n">
        <x:v>1.281488</x:v>
      </x:c>
      <x:c r="C23" s="488"/>
      <x:c r="D23" s="488"/>
      <x:c r="E23" s="488"/>
      <x:c r="F23" s="488"/>
    </x:row>
    <x:row r="24">
      <x:c r="A24" s="488"/>
      <x:c r="B24" s="488"/>
      <x:c r="C24" s="488"/>
      <x:c r="D24" s="488"/>
      <x:c r="E24" s="488"/>
      <x:c r="F24" s="488"/>
    </x:row>
    <x:row r="25" ht="48" customHeight="1">
      <x:c r="A25" s="568" t="str">
        <x:v>Interpretation: the 128 x 64 output tile is not suitable for every shape. It loses at small M, reaches parity around M=256-1024 depending on N/K, and provides the strongest gains at M&gt;=2048. M=512 and M=1024 use seven repeats because the initial sweep contained scheduling outliers.</x:v>
      </x:c>
      <x:c r="B25" s="568"/>
      <x:c r="C25" s="568"/>
      <x:c r="D25" s="568"/>
      <x:c r="E25" s="568"/>
      <x:c r="F25" s="568"/>
    </x:row>
  </x:sheetData>
  <x:mergeCells>
    <x:mergeCell ref="A1:F1"/>
    <x:mergeCell ref="A2:F2"/>
    <x:mergeCell ref="A19:D19"/>
    <x:mergeCell ref="A25:F25"/>
  </x:mergeCells>
  <x:conditionalFormatting sqref="D5:D16">
    <x:cfRule type="cellIs" dxfId="3" priority="1" operator="greaterThanOrEqual">
      <x:formula>1</x:formula>
    </x:cfRule>
    <x:cfRule type="cellIs" dxfId="4" priority="2" operator="lessThan">
      <x:formula>1</x:formula>
    </x:cfRule>
  </x:conditionalFormatting>
  <x:conditionalFormatting sqref="F5:F16">
    <x:cfRule type="containsText" dxfId="5" priority="3" operator="containsText" text="Faster"/>
    <x:cfRule type="containsText" dxfId="6" priority="4" operator="containsText" text="Slower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1" hidden="0" customWidth="1"/>
    <x:col min="3" max="3" width="21" hidden="0" customWidth="1"/>
    <x:col min="4" max="4" width="14" hidden="0" customWidth="1"/>
    <x:col min="5" max="5" width="10" hidden="0" customWidth="1"/>
    <x:col min="6" max="6" width="38" hidden="0" customWidth="1"/>
  </x:cols>
  <x:sheetData>
    <x:row r="1" ht="34" customHeight="1">
      <x:c r="A1" s="628" t="str">
        <x:v>Tuned Hybrid Sparse Dispatch</x:v>
      </x:c>
      <x:c r="B1" s="628"/>
      <x:c r="C1" s="628"/>
      <x:c r="D1" s="628"/>
      <x:c r="E1" s="628"/>
      <x:c r="F1" s="628"/>
    </x:row>
    <x:row r="2" ht="24" customHeight="1">
      <x:c r="A2" s="631" t="str">
        <x:v>NVIDIA H20 | BF16 input/output | FP32 accumulation | 25% hybrid sparsity | per-shape best dispatch | 7 paired repeats x 300 | commit e2eb54f</x:v>
      </x:c>
      <x:c r="B2" s="631"/>
      <x:c r="C2" s="631"/>
      <x:c r="D2" s="631"/>
      <x:c r="E2" s="631"/>
      <x:c r="F2" s="631"/>
    </x:row>
    <x:row r="4" ht="34" customHeight="1">
      <x:c r="A4" s="636" t="str">
        <x:v>Shape (M x N x K)</x:v>
      </x:c>
      <x:c r="B4" s="636" t="str">
        <x:v>Tuned median (us)</x:v>
      </x:c>
      <x:c r="C4" s="636" t="str">
        <x:v>DeepGEMM median (us)</x:v>
      </x:c>
      <x:c r="D4" s="636" t="str">
        <x:v>Speedup</x:v>
      </x:c>
      <x:c r="E4" s="636" t="str">
        <x:v>Repeats</x:v>
      </x:c>
      <x:c r="F4" s="636" t="str">
        <x:v>Selected kernel</x:v>
      </x:c>
    </x:row>
    <x:row r="5" ht="24" customHeight="1">
      <x:c r="A5" s="641" t="str">
        <x:v>128 x 1408 x 2048</x:v>
      </x:c>
      <x:c r="B5" s="647" t="n">
        <x:v>8.879</x:v>
      </x:c>
      <x:c r="C5" s="647" t="n">
        <x:v>9.524</x:v>
      </x:c>
      <x:c r="D5" s="650" t="n">
        <x:f>C5/B5</x:f>
        <x:v>1.0726433156887036</x:v>
      </x:c>
      <x:c r="E5" s="653" t="n">
        <x:v>7</x:v>
      </x:c>
      <x:c r="F5" s="641" t="str">
        <x:v>output48 descriptor reuse</x:v>
      </x:c>
    </x:row>
    <x:row r="6" ht="24" customHeight="1">
      <x:c r="A6" s="642" t="str">
        <x:v>128 x 2048 x 1408</x:v>
      </x:c>
      <x:c r="B6" s="648" t="n">
        <x:v>7.268</x:v>
      </x:c>
      <x:c r="C6" s="648" t="n">
        <x:v>8.593</x:v>
      </x:c>
      <x:c r="D6" s="651" t="n">
        <x:f>C6/B6</x:f>
        <x:v>1.1823059988992846</x:v>
      </x:c>
      <x:c r="E6" s="654" t="n">
        <x:v>7</x:v>
      </x:c>
      <x:c r="F6" s="642" t="str">
        <x:v>output64 constexpr branch group</x:v>
      </x:c>
    </x:row>
    <x:row r="7" ht="24" customHeight="1">
      <x:c r="A7" s="642" t="str">
        <x:v>256 x 1408 x 2048</x:v>
      </x:c>
      <x:c r="B7" s="648" t="n">
        <x:v>12.548</x:v>
      </x:c>
      <x:c r="C7" s="648" t="n">
        <x:v>13.765</x:v>
      </x:c>
      <x:c r="D7" s="651" t="n">
        <x:f>C7/B7</x:f>
        <x:v>1.0969875677398788</x:v>
      </x:c>
      <x:c r="E7" s="654" t="n">
        <x:v>7</x:v>
      </x:c>
      <x:c r="F7" s="642" t="str">
        <x:v>output88 group-stage descriptor reuse</x:v>
      </x:c>
    </x:row>
    <x:row r="8" ht="24" customHeight="1">
      <x:c r="A8" s="642" t="str">
        <x:v>256 x 2048 x 1408</x:v>
      </x:c>
      <x:c r="B8" s="648" t="n">
        <x:v>11.779</x:v>
      </x:c>
      <x:c r="C8" s="648" t="n">
        <x:v>13.213</x:v>
      </x:c>
      <x:c r="D8" s="651" t="n">
        <x:f>C8/B8</x:f>
        <x:v>1.121742083368707</x:v>
      </x:c>
      <x:c r="E8" s="654" t="n">
        <x:v>7</x:v>
      </x:c>
      <x:c r="F8" s="642" t="str">
        <x:v>output128 fixed-shape stage4 async group2</x:v>
      </x:c>
    </x:row>
    <x:row r="9" ht="24" customHeight="1">
      <x:c r="A9" s="642" t="str">
        <x:v>512 x 1408 x 2048</x:v>
      </x:c>
      <x:c r="B9" s="648" t="n">
        <x:v>21.916</x:v>
      </x:c>
      <x:c r="C9" s="648" t="n">
        <x:v>25.16</x:v>
      </x:c>
      <x:c r="D9" s="651" t="n">
        <x:f>C9/B9</x:f>
        <x:v>1.1480197116262092</x:v>
      </x:c>
      <x:c r="E9" s="654" t="n">
        <x:v>7</x:v>
      </x:c>
      <x:c r="F9" s="642" t="str">
        <x:v>output80 group-stage descriptor reuse</x:v>
      </x:c>
    </x:row>
    <x:row r="10" ht="24" customHeight="1">
      <x:c r="A10" s="642" t="str">
        <x:v>512 x 2048 x 1408</x:v>
      </x:c>
      <x:c r="B10" s="648" t="n">
        <x:v>22.886</x:v>
      </x:c>
      <x:c r="C10" s="648" t="n">
        <x:v>24.535</x:v>
      </x:c>
      <x:c r="D10" s="651" t="n">
        <x:f>C10/B10</x:f>
        <x:v>1.0720527833610067</x:v>
      </x:c>
      <x:c r="E10" s="654" t="n">
        <x:v>7</x:v>
      </x:c>
      <x:c r="F10" s="642" t="str">
        <x:v>output128 group-stage descriptor reuse</x:v>
      </x:c>
    </x:row>
    <x:row r="11" ht="24" customHeight="1">
      <x:c r="A11" s="642" t="str">
        <x:v>1024 x 1408 x 2048</x:v>
      </x:c>
      <x:c r="B11" s="648" t="n">
        <x:v>41.971</x:v>
      </x:c>
      <x:c r="C11" s="648" t="n">
        <x:v>48.515</x:v>
      </x:c>
      <x:c r="D11" s="651" t="n">
        <x:f>C11/B11</x:f>
        <x:v>1.1559171809106288</x:v>
      </x:c>
      <x:c r="E11" s="654" t="n">
        <x:v>7</x:v>
      </x:c>
      <x:c r="F11" s="642" t="str">
        <x:v>output80 group-stage descriptor reuse</x:v>
      </x:c>
    </x:row>
    <x:row r="12" ht="24" customHeight="1">
      <x:c r="A12" s="643" t="str">
        <x:v>1024 x 2048 x 1408</x:v>
      </x:c>
      <x:c r="B12" s="649" t="n">
        <x:v>43.393</x:v>
      </x:c>
      <x:c r="C12" s="649" t="n">
        <x:v>47.341</x:v>
      </x:c>
      <x:c r="D12" s="652" t="n">
        <x:f>C12/B12</x:f>
        <x:v>1.0909824165187934</x:v>
      </x:c>
      <x:c r="E12" s="655" t="n">
        <x:v>7</x:v>
      </x:c>
      <x:c r="F12" s="643" t="str">
        <x:v>output96 baseline group-stage</x:v>
      </x:c>
    </x:row>
    <x:row r="13">
      <x:c r="A13" s="674" t="str">
        <x:v>2048 x 1408 x 2048</x:v>
      </x:c>
      <x:c r="B13" s="682" t="n">
        <x:v>76.966</x:v>
      </x:c>
      <x:c r="C13" s="682" t="n">
        <x:v>94.674</x:v>
      </x:c>
      <x:c r="D13" s="686" t="n">
        <x:f>C13/B13</x:f>
        <x:v>1.2300756178052648</x:v>
      </x:c>
      <x:c r="E13" s="690" t="n">
        <x:v>7</x:v>
      </x:c>
      <x:c r="F13" s="674" t="str">
        <x:v>output128 stage-kind</x:v>
      </x:c>
    </x:row>
    <x:row r="14">
      <x:c r="A14" s="675" t="str">
        <x:v>2048 x 2048 x 1408</x:v>
      </x:c>
      <x:c r="B14" s="681" t="n">
        <x:v>74.42</x:v>
      </x:c>
      <x:c r="C14" s="681" t="n">
        <x:v>92.351</x:v>
      </x:c>
      <x:c r="D14" s="687" t="n">
        <x:f>C14/B14</x:f>
        <x:v>1.2409432948132222</x:v>
      </x:c>
      <x:c r="E14" s="677" t="n">
        <x:v>7</x:v>
      </x:c>
      <x:c r="F14" s="675" t="str">
        <x:v>output128 stage-kind</x:v>
      </x:c>
    </x:row>
    <x:row r="15" ht="24" customHeight="1">
      <x:c r="A15" s="676" t="str">
        <x:v>4096 x 1408 x 2048</x:v>
      </x:c>
      <x:c r="B15" s="683" t="n">
        <x:v>149.138</x:v>
      </x:c>
      <x:c r="C15" s="681" t="n">
        <x:v>182.777</x:v>
      </x:c>
      <x:c r="D15" s="687" t="n">
        <x:f>C15/B15</x:f>
        <x:v>1.2255561962745911</x:v>
      </x:c>
      <x:c r="E15" s="677" t="n">
        <x:v>7</x:v>
      </x:c>
      <x:c r="F15" s="675" t="str">
        <x:v>output128 stage-kind</x:v>
      </x:c>
    </x:row>
    <x:row r="16">
      <x:c r="A16" s="675" t="str">
        <x:v>4096 x 2048 x 1408</x:v>
      </x:c>
      <x:c r="B16" s="681" t="n">
        <x:v>144.6</x:v>
      </x:c>
      <x:c r="C16" s="681" t="n">
        <x:v>181.872</x:v>
      </x:c>
      <x:c r="D16" s="687" t="n">
        <x:f>C16/B16</x:f>
        <x:v>1.2577593360995851</x:v>
      </x:c>
      <x:c r="E16" s="677" t="n">
        <x:v>7</x:v>
      </x:c>
      <x:c r="F16" s="675" t="str">
        <x:v>output128 stage-kind</x:v>
      </x:c>
    </x:row>
    <x:row r="17">
      <x:c r="A17" s="658"/>
      <x:c r="B17" s="662"/>
    </x:row>
    <x:row r="18">
      <x:c r="A18" s="658"/>
      <x:c r="B18" s="663"/>
    </x:row>
    <x:row r="19">
      <x:c r="A19" s="692" t="str">
        <x:v>Summary</x:v>
      </x:c>
      <x:c r="B19" s="692"/>
      <x:c r="C19"/>
      <x:c r="D19"/>
      <x:c r="E19"/>
      <x:c r="F19"/>
    </x:row>
    <x:row r="20">
      <x:c r="A20" s="697" t="str">
        <x:v>Shapes faster than DeepGEMM</x:v>
      </x:c>
      <x:c r="B20" s="701" t="n">
        <x:f>COUNTIF(D5:D16,"&gt;1")</x:f>
        <x:v>12</x:v>
      </x:c>
      <x:c r="C20"/>
      <x:c r="D20"/>
      <x:c r="E20"/>
      <x:c r="F20"/>
    </x:row>
    <x:row r="21" ht="34" customHeight="1">
      <x:c r="A21" s="698" t="str">
        <x:v>Best speedup</x:v>
      </x:c>
      <x:c r="B21" s="702" t="n">
        <x:f>MAX(D5:D16)</x:f>
        <x:v>1.2577593360995851</x:v>
      </x:c>
      <x:c r="C21" s="666"/>
      <x:c r="D21" s="666"/>
      <x:c r="E21" s="666"/>
      <x:c r="F21" s="666"/>
    </x:row>
    <x:row r="22">
      <x:c r="A22" s="697" t="str">
        <x:v>Slowest tuned latency</x:v>
      </x:c>
      <x:c r="B22" s="703" t="n">
        <x:f>MAX(B5:B16)</x:f>
        <x:v>149.138</x:v>
      </x:c>
      <x:c r="C22"/>
      <x:c r="D22"/>
      <x:c r="E22"/>
      <x:c r="F22"/>
    </x:row>
    <x:row r="25">
      <x:c r="A25" s="705" t="str">
        <x:v>Interpretation: each supported shape dispatches to its lowest-latency validated kernel; no large-M generic fallback is used.</x:v>
      </x:c>
      <x:c r="B25" s="705"/>
      <x:c r="C25" s="705"/>
      <x:c r="D25" s="705"/>
      <x:c r="E25" s="705"/>
      <x:c r="F25" s="705"/>
    </x:row>
  </x:sheetData>
  <x:mergeCells>
    <x:mergeCell ref="A1:F1"/>
    <x:mergeCell ref="A2:F2"/>
    <x:mergeCell ref="A19:B19"/>
    <x:mergeCell ref="A25:F25"/>
  </x:mergeCells>
  <x:conditionalFormatting sqref="D5:D12">
    <x:cfRule type="cellIs" dxfId="7" priority="1" operator="greaterThanOrEqual">
      <x:formula>1</x:formula>
    </x:cfRule>
    <x:cfRule type="cellIs" dxfId="8" priority="2" operator="lessThan">
      <x:formula>1</x:formula>
    </x:cfRule>
  </x:conditionalFormatting>
  <x:conditionalFormatting sqref="D13:D16">
    <x:cfRule type="cellIs" dxfId="9" priority="3" operator="greaterThanOrEqual">
      <x:formula>1</x:formula>
    </x:cfRule>
    <x:cfRule type="cellIs" dxfId="10" priority="4" operator="lessThan">
      <x:formula>1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5" hidden="0" customWidth="1"/>
    <x:col min="3" max="3" width="16" hidden="0" customWidth="1"/>
    <x:col min="4" max="4" width="10" hidden="0" customWidth="1"/>
    <x:col min="5" max="5" width="18" hidden="0" customWidth="1"/>
    <x:col min="6" max="6" width="20" hidden="0" customWidth="1"/>
    <x:col min="7" max="7" width="12" hidden="0" customWidth="1"/>
    <x:col min="8" max="8" width="38" hidden="0" customWidth="1"/>
    <x:col min="9" max="9" width="13" hidden="0" customWidth="1"/>
    <x:col min="10" max="10" width="13" hidden="0" customWidth="1"/>
    <x:col min="11" max="11" width="38" hidden="0" customWidth="1"/>
  </x:cols>
  <x:sheetData>
    <x:row r="1" ht="38" customHeight="1">
      <x:c r="A1" s="817" t="str">
        <x:v>Grouped GEMM Best-Dispatch Performance</x:v>
      </x:c>
      <x:c r="B1" s="817"/>
      <x:c r="C1" s="817"/>
      <x:c r="D1" s="817"/>
      <x:c r="E1" s="817"/>
      <x:c r="F1" s="817"/>
      <x:c r="G1" s="817"/>
      <x:c r="H1" s="817"/>
      <x:c r="I1" s="817"/>
      <x:c r="J1"/>
      <x:c r="K1"/>
    </x:row>
    <x:row r="2" ht="25" customHeight="1">
      <x:c r="A2" s="813" t="str">
        <x:v>NVIDIA H20 | BF16 input/output | FP32 accumulation | 64 x 64 weight blocks | 25% sparsity | Num Experts = 8 | 100 timing runs | L2 flush disabled</x:v>
      </x:c>
      <x:c r="B2" s="813"/>
      <x:c r="C2" s="813"/>
      <x:c r="D2" s="813"/>
      <x:c r="E2" s="813"/>
      <x:c r="F2" s="813"/>
      <x:c r="G2" s="813"/>
      <x:c r="H2" s="813"/>
      <x:c r="I2" s="813"/>
      <x:c r="J2"/>
      <x:c r="K2"/>
    </x:row>
    <x:row r="3">
      <x:c r="A3" s="442"/>
      <x:c r="B3" s="442"/>
      <x:c r="C3" s="442"/>
      <x:c r="D3" s="442"/>
      <x:c r="E3" s="442"/>
      <x:c r="F3" s="442"/>
      <x:c r="G3" s="442"/>
      <x:c r="H3" s="442"/>
      <x:c r="I3" s="442"/>
      <x:c r="J3"/>
      <x:c r="K3"/>
    </x:row>
    <x:row r="4" ht="28" customHeight="1">
      <x:c r="A4" s="814" t="str">
        <x:v>Contiguous Grouped GEMM - Best Kernel per Shape</x:v>
      </x:c>
      <x:c r="B4" s="814"/>
      <x:c r="C4" s="814"/>
      <x:c r="D4" s="814"/>
      <x:c r="E4" s="814"/>
      <x:c r="F4" s="814"/>
      <x:c r="G4" s="814"/>
      <x:c r="H4" s="814"/>
      <x:c r="I4" s="814"/>
      <x:c r="J4"/>
      <x:c r="K4"/>
    </x:row>
    <x:row r="5" ht="36" customHeight="1">
      <x:c r="A5" s="815" t="str">
        <x:v>Num Experts</x:v>
      </x:c>
      <x:c r="B5" s="815" t="str">
        <x:v>Shape (Total M x N x K)</x:v>
      </x:c>
      <x:c r="C5" s="815" t="str">
        <x:v>Tokens / Expert</x:v>
      </x:c>
      <x:c r="D5" s="815" t="str">
        <x:v>Max M</x:v>
      </x:c>
      <x:c r="E5" s="815" t="str">
        <x:v>Hybrid latency (us)</x:v>
      </x:c>
      <x:c r="F5" s="815" t="str">
        <x:v>DeepGEMM latency (us)</x:v>
      </x:c>
      <x:c r="G5" s="815" t="str">
        <x:v>Speedup</x:v>
      </x:c>
      <x:c r="H5" s="815" t="str">
        <x:v>Best kernel version</x:v>
      </x:c>
      <x:c r="I5" s="815" t="str">
        <x:v>Validation</x:v>
      </x:c>
      <x:c r="J5"/>
      <x:c r="K5"/>
    </x:row>
    <x:row r="6" ht="28" customHeight="1">
      <x:c r="A6" s="755" t="n">
        <x:v>8</x:v>
      </x:c>
      <x:c r="B6" s="754" t="str">
        <x:v>128 x 1408 x 2048</x:v>
      </x:c>
      <x:c r="C6" s="755" t="n">
        <x:v>16</x:v>
      </x:c>
      <x:c r="D6" s="755" t="n">
        <x:v>64</x:v>
      </x:c>
      <x:c r="E6" s="792" t="n">
        <x:v>32.5</x:v>
      </x:c>
      <x:c r="F6" s="792" t="n">
        <x:v>51</x:v>
      </x:c>
      <x:c r="G6" s="757" t="n">
        <x:f>F6/E6</x:f>
        <x:v>1.5692307692307692</x:v>
      </x:c>
      <x:c r="H6" s="754" t="str">
        <x:v>output128x64_persistent</x:v>
      </x:c>
      <x:c r="I6" s="755" t="str">
        <x:v>Pass</x:v>
      </x:c>
      <x:c r="J6"/>
      <x:c r="K6"/>
    </x:row>
    <x:row r="7" ht="28" customHeight="1">
      <x:c r="A7" s="755" t="n">
        <x:v>8</x:v>
      </x:c>
      <x:c r="B7" s="754" t="str">
        <x:v>256 x 1408 x 2048</x:v>
      </x:c>
      <x:c r="C7" s="755" t="n">
        <x:v>32</x:v>
      </x:c>
      <x:c r="D7" s="755" t="n">
        <x:v>64</x:v>
      </x:c>
      <x:c r="E7" s="792" t="n">
        <x:v>32.4</x:v>
      </x:c>
      <x:c r="F7" s="792" t="n">
        <x:v>51.3</x:v>
      </x:c>
      <x:c r="G7" s="757" t="n">
        <x:f>F7/E7</x:f>
        <x:v>1.5833333333333333</x:v>
      </x:c>
      <x:c r="H7" s="754" t="str">
        <x:v>output128x64_persistent</x:v>
      </x:c>
      <x:c r="I7" s="755" t="str">
        <x:v>Pass</x:v>
      </x:c>
      <x:c r="J7"/>
      <x:c r="K7"/>
    </x:row>
    <x:row r="8" ht="28" customHeight="1">
      <x:c r="A8" s="755" t="n">
        <x:v>8</x:v>
      </x:c>
      <x:c r="B8" s="754" t="str">
        <x:v>512 x 1408 x 2048</x:v>
      </x:c>
      <x:c r="C8" s="755" t="n">
        <x:v>64</x:v>
      </x:c>
      <x:c r="D8" s="755" t="n">
        <x:v>64</x:v>
      </x:c>
      <x:c r="E8" s="792" t="n">
        <x:v>32</x:v>
      </x:c>
      <x:c r="F8" s="792" t="n">
        <x:v>51</x:v>
      </x:c>
      <x:c r="G8" s="757" t="n">
        <x:f>F8/E8</x:f>
        <x:v>1.59375</x:v>
      </x:c>
      <x:c r="H8" s="754" t="str">
        <x:v>output128x64_persistent</x:v>
      </x:c>
      <x:c r="I8" s="755" t="str">
        <x:v>Pass</x:v>
      </x:c>
      <x:c r="J8"/>
      <x:c r="K8"/>
    </x:row>
    <x:row r="9" ht="28" customHeight="1">
      <x:c r="A9" s="755" t="n">
        <x:v>8</x:v>
      </x:c>
      <x:c r="B9" s="754" t="str">
        <x:v>1024 x 1408 x 2048</x:v>
      </x:c>
      <x:c r="C9" s="755" t="n">
        <x:v>128</x:v>
      </x:c>
      <x:c r="D9" s="755" t="n">
        <x:v>128</x:v>
      </x:c>
      <x:c r="E9" s="792" t="n">
        <x:v>51.4</x:v>
      </x:c>
      <x:c r="F9" s="792" t="n">
        <x:v>51</x:v>
      </x:c>
      <x:c r="G9" s="757" t="n">
        <x:f>F9/E9</x:f>
        <x:v>0.9922178988326849</x:v>
      </x:c>
      <x:c r="H9" s="754" t="str">
        <x:v>output64x128_stage2_single_wg</x:v>
      </x:c>
      <x:c r="I9" s="755" t="str">
        <x:v>Pass</x:v>
      </x:c>
      <x:c r="J9"/>
      <x:c r="K9"/>
    </x:row>
    <x:row r="10" ht="28" customHeight="1">
      <x:c r="A10" s="755" t="n">
        <x:v>8</x:v>
      </x:c>
      <x:c r="B10" s="754" t="str">
        <x:v>2048 x 1408 x 2048</x:v>
      </x:c>
      <x:c r="C10" s="755" t="n">
        <x:v>256</x:v>
      </x:c>
      <x:c r="D10" s="755" t="n">
        <x:v>256</x:v>
      </x:c>
      <x:c r="E10" s="792" t="n">
        <x:v>77</x:v>
      </x:c>
      <x:c r="F10" s="792" t="n">
        <x:v>97.1</x:v>
      </x:c>
      <x:c r="G10" s="757" t="n">
        <x:f>F10/E10</x:f>
        <x:v>1.261038961038961</x:v>
      </x:c>
      <x:c r="H10" s="754" t="str">
        <x:v>output128x64_persistent</x:v>
      </x:c>
      <x:c r="I10" s="755" t="str">
        <x:v>Pass</x:v>
      </x:c>
      <x:c r="J10"/>
      <x:c r="K10"/>
    </x:row>
    <x:row r="11" ht="28" customHeight="1">
      <x:c r="A11" s="755" t="n">
        <x:v>8</x:v>
      </x:c>
      <x:c r="B11" s="754" t="str">
        <x:v>4096 x 1408 x 2048</x:v>
      </x:c>
      <x:c r="C11" s="755" t="n">
        <x:v>512</x:v>
      </x:c>
      <x:c r="D11" s="755" t="n">
        <x:v>512</x:v>
      </x:c>
      <x:c r="E11" s="792" t="n">
        <x:v>150.5</x:v>
      </x:c>
      <x:c r="F11" s="792" t="n">
        <x:v>185.4</x:v>
      </x:c>
      <x:c r="G11" s="757" t="n">
        <x:f>F11/E11</x:f>
        <x:v>1.2318936877076412</x:v>
      </x:c>
      <x:c r="H11" s="754" t="str">
        <x:v>output128x64_persistent</x:v>
      </x:c>
      <x:c r="I11" s="755" t="str">
        <x:v>Pass</x:v>
      </x:c>
      <x:c r="J11"/>
      <x:c r="K11"/>
    </x:row>
    <x:row r="12" ht="28" customHeight="1">
      <x:c r="A12" s="755" t="n">
        <x:v>8</x:v>
      </x:c>
      <x:c r="B12" s="754" t="str">
        <x:v>128 x 2048 x 1408</x:v>
      </x:c>
      <x:c r="C12" s="755" t="n">
        <x:v>16</x:v>
      </x:c>
      <x:c r="D12" s="755" t="n">
        <x:v>64</x:v>
      </x:c>
      <x:c r="E12" s="792" t="n">
        <x:v>25.4</x:v>
      </x:c>
      <x:c r="F12" s="792" t="n">
        <x:v>53.2</x:v>
      </x:c>
      <x:c r="G12" s="757" t="n">
        <x:f>F12/E12</x:f>
        <x:v>2.0944881889763782</x:v>
      </x:c>
      <x:c r="H12" s="754" t="str">
        <x:v>output128x64_persistent</x:v>
      </x:c>
      <x:c r="I12" s="755" t="str">
        <x:v>Pass</x:v>
      </x:c>
      <x:c r="J12"/>
      <x:c r="K12"/>
    </x:row>
    <x:row r="13" ht="28" customHeight="1">
      <x:c r="A13" s="755" t="n">
        <x:v>8</x:v>
      </x:c>
      <x:c r="B13" s="754" t="str">
        <x:v>256 x 2048 x 1408</x:v>
      </x:c>
      <x:c r="C13" s="755" t="n">
        <x:v>32</x:v>
      </x:c>
      <x:c r="D13" s="755" t="n">
        <x:v>64</x:v>
      </x:c>
      <x:c r="E13" s="792" t="n">
        <x:v>25.2</x:v>
      </x:c>
      <x:c r="F13" s="792" t="n">
        <x:v>53.2</x:v>
      </x:c>
      <x:c r="G13" s="757" t="n">
        <x:f>F13/E13</x:f>
        <x:v>2.111111111111111</x:v>
      </x:c>
      <x:c r="H13" s="754" t="str">
        <x:v>output128x64_persistent</x:v>
      </x:c>
      <x:c r="I13" s="755" t="str">
        <x:v>Pass</x:v>
      </x:c>
      <x:c r="J13"/>
      <x:c r="K13"/>
    </x:row>
    <x:row r="14" ht="28" customHeight="1">
      <x:c r="A14" s="755" t="n">
        <x:v>8</x:v>
      </x:c>
      <x:c r="B14" s="754" t="str">
        <x:v>512 x 2048 x 1408</x:v>
      </x:c>
      <x:c r="C14" s="755" t="n">
        <x:v>64</x:v>
      </x:c>
      <x:c r="D14" s="755" t="n">
        <x:v>64</x:v>
      </x:c>
      <x:c r="E14" s="792" t="n">
        <x:v>24.8</x:v>
      </x:c>
      <x:c r="F14" s="792" t="n">
        <x:v>53.1</x:v>
      </x:c>
      <x:c r="G14" s="757" t="n">
        <x:f>F14/E14</x:f>
        <x:v>2.1411290322580645</x:v>
      </x:c>
      <x:c r="H14" s="754" t="str">
        <x:v>output128x64_persistent</x:v>
      </x:c>
      <x:c r="I14" s="755" t="str">
        <x:v>Pass</x:v>
      </x:c>
      <x:c r="J14"/>
      <x:c r="K14"/>
    </x:row>
    <x:row r="15" ht="28" customHeight="1">
      <x:c r="A15" s="755" t="n">
        <x:v>8</x:v>
      </x:c>
      <x:c r="B15" s="754" t="str">
        <x:v>1024 x 2048 x 1408</x:v>
      </x:c>
      <x:c r="C15" s="755" t="n">
        <x:v>128</x:v>
      </x:c>
      <x:c r="D15" s="755" t="n">
        <x:v>128</x:v>
      </x:c>
      <x:c r="E15" s="792" t="n">
        <x:v>44.9</x:v>
      </x:c>
      <x:c r="F15" s="792" t="n">
        <x:v>53.2</x:v>
      </x:c>
      <x:c r="G15" s="757" t="n">
        <x:f>F15/E15</x:f>
        <x:v>1.1848552338530067</x:v>
      </x:c>
      <x:c r="H15" s="754" t="str">
        <x:v>output64x128_stage2_single_wg</x:v>
      </x:c>
      <x:c r="I15" s="755" t="str">
        <x:v>Pass</x:v>
      </x:c>
      <x:c r="J15"/>
      <x:c r="K15"/>
    </x:row>
    <x:row r="16" ht="28" customHeight="1">
      <x:c r="A16" s="755" t="n">
        <x:v>8</x:v>
      </x:c>
      <x:c r="B16" s="754" t="str">
        <x:v>2048 x 2048 x 1408</x:v>
      </x:c>
      <x:c r="C16" s="755" t="n">
        <x:v>256</x:v>
      </x:c>
      <x:c r="D16" s="755" t="n">
        <x:v>256</x:v>
      </x:c>
      <x:c r="E16" s="792" t="n">
        <x:v>76.3</x:v>
      </x:c>
      <x:c r="F16" s="792" t="n">
        <x:v>100.8</x:v>
      </x:c>
      <x:c r="G16" s="757" t="n">
        <x:f>F16/E16</x:f>
        <x:v>1.3211009174311927</x:v>
      </x:c>
      <x:c r="H16" s="754" t="str">
        <x:v>output128x64_persistent</x:v>
      </x:c>
      <x:c r="I16" s="755" t="str">
        <x:v>Pass</x:v>
      </x:c>
      <x:c r="J16"/>
      <x:c r="K16"/>
    </x:row>
    <x:row r="17" ht="28" customHeight="1">
      <x:c r="A17" s="761" t="n">
        <x:v>8</x:v>
      </x:c>
      <x:c r="B17" s="760" t="str">
        <x:v>4096 x 2048 x 1408</x:v>
      </x:c>
      <x:c r="C17" s="761" t="n">
        <x:v>512</x:v>
      </x:c>
      <x:c r="D17" s="761" t="n">
        <x:v>512</x:v>
      </x:c>
      <x:c r="E17" s="793" t="n">
        <x:v>149.5</x:v>
      </x:c>
      <x:c r="F17" s="793" t="n">
        <x:v>196.6</x:v>
      </x:c>
      <x:c r="G17" s="763" t="n">
        <x:f>F17/E17</x:f>
        <x:v>1.3150501672240802</x:v>
      </x:c>
      <x:c r="H17" s="760" t="str">
        <x:v>output128x64_persistent</x:v>
      </x:c>
      <x:c r="I17" s="761" t="str">
        <x:v>Pass</x:v>
      </x:c>
      <x:c r="J17"/>
      <x:c r="K17"/>
    </x:row>
    <x:row r="18" ht="32" customHeight="1">
      <x:c r="A18" s="442"/>
      <x:c r="B18" s="442"/>
      <x:c r="C18" s="442"/>
      <x:c r="D18" s="442"/>
      <x:c r="E18" s="442"/>
      <x:c r="F18" s="442"/>
      <x:c r="G18" s="442"/>
      <x:c r="H18" s="442"/>
      <x:c r="I18" s="442"/>
      <x:c r="J18"/>
      <x:c r="K18"/>
    </x:row>
    <x:row r="19">
      <x:c r="A19" s="442"/>
      <x:c r="B19" s="442"/>
      <x:c r="C19" s="442"/>
      <x:c r="D19" s="442"/>
      <x:c r="E19" s="442"/>
      <x:c r="F19" s="442"/>
      <x:c r="G19" s="442"/>
      <x:c r="H19" s="442"/>
      <x:c r="I19" s="442"/>
    </x:row>
    <x:row r="20" ht="28" customHeight="1">
      <x:c r="A20" s="814" t="str">
        <x:v>Masked Grouped GEMM - Best Kernel per Shape</x:v>
      </x:c>
      <x:c r="B20" s="814"/>
      <x:c r="C20" s="814"/>
      <x:c r="D20" s="814"/>
      <x:c r="E20" s="814"/>
      <x:c r="F20" s="814"/>
      <x:c r="G20" s="814"/>
      <x:c r="H20" s="814"/>
      <x:c r="I20" s="814"/>
    </x:row>
    <x:row r="21" ht="36" customHeight="1">
      <x:c r="A21" s="815" t="str">
        <x:v>Num Experts</x:v>
      </x:c>
      <x:c r="B21" s="815" t="str">
        <x:v>Shape (Total M x N x K)</x:v>
      </x:c>
      <x:c r="C21" s="815" t="str">
        <x:v>Tokens / Expert</x:v>
      </x:c>
      <x:c r="D21" s="815" t="str">
        <x:v>Max M</x:v>
      </x:c>
      <x:c r="E21" s="815" t="str">
        <x:v>Hybrid latency (us)</x:v>
      </x:c>
      <x:c r="F21" s="815" t="str">
        <x:v>DeepGEMM latency (us)</x:v>
      </x:c>
      <x:c r="G21" s="815" t="str">
        <x:v>Speedup</x:v>
      </x:c>
      <x:c r="H21" s="815" t="str">
        <x:v>Best kernel version</x:v>
      </x:c>
      <x:c r="I21" s="815" t="str">
        <x:v>Validation</x:v>
      </x:c>
    </x:row>
    <x:row r="22" ht="28" customHeight="1">
      <x:c r="A22" s="755" t="n">
        <x:v>8</x:v>
      </x:c>
      <x:c r="B22" s="754" t="str">
        <x:v>128 x 1408 x 2048</x:v>
      </x:c>
      <x:c r="C22" s="755" t="n">
        <x:v>16</x:v>
      </x:c>
      <x:c r="D22" s="755" t="n">
        <x:v>64</x:v>
      </x:c>
      <x:c r="E22" s="792" t="n">
        <x:v>18.9</x:v>
      </x:c>
      <x:c r="F22" s="792" t="n">
        <x:v>27.8</x:v>
      </x:c>
      <x:c r="G22" s="757" t="n">
        <x:f>F22/E22</x:f>
        <x:v>1.4708994708994712</x:v>
      </x:c>
      <x:c r="H22" s="754" t="str">
        <x:v>output32x64_stage4_adaptive</x:v>
      </x:c>
      <x:c r="I22" s="755" t="str">
        <x:v>Pass</x:v>
      </x:c>
    </x:row>
    <x:row r="23" ht="28" customHeight="1">
      <x:c r="A23" s="755" t="n">
        <x:v>8</x:v>
      </x:c>
      <x:c r="B23" s="754" t="str">
        <x:v>256 x 1408 x 2048</x:v>
      </x:c>
      <x:c r="C23" s="755" t="n">
        <x:v>32</x:v>
      </x:c>
      <x:c r="D23" s="755" t="n">
        <x:v>64</x:v>
      </x:c>
      <x:c r="E23" s="792" t="n">
        <x:v>18.5</x:v>
      </x:c>
      <x:c r="F23" s="792" t="n">
        <x:v>27.6</x:v>
      </x:c>
      <x:c r="G23" s="757" t="n">
        <x:f>F23/E23</x:f>
        <x:v>1.491891891891892</x:v>
      </x:c>
      <x:c r="H23" s="754" t="str">
        <x:v>output32x64_stage4_adaptive</x:v>
      </x:c>
      <x:c r="I23" s="755" t="str">
        <x:v>Pass</x:v>
      </x:c>
    </x:row>
    <x:row r="24" ht="28" customHeight="1">
      <x:c r="A24" s="755" t="n">
        <x:v>8</x:v>
      </x:c>
      <x:c r="B24" s="754" t="str">
        <x:v>512 x 1408 x 2048</x:v>
      </x:c>
      <x:c r="C24" s="755" t="n">
        <x:v>64</x:v>
      </x:c>
      <x:c r="D24" s="755" t="n">
        <x:v>64</x:v>
      </x:c>
      <x:c r="E24" s="792" t="n">
        <x:v>24.1</x:v>
      </x:c>
      <x:c r="F24" s="792" t="n">
        <x:v>27.6</x:v>
      </x:c>
      <x:c r="G24" s="757" t="n">
        <x:f>F24/E24</x:f>
        <x:v>1.1452282157676348</x:v>
      </x:c>
      <x:c r="H24" s="754" t="str">
        <x:v>fixed_stage2_masked_epilogue</x:v>
      </x:c>
      <x:c r="I24" s="755" t="str">
        <x:v>Pass</x:v>
      </x:c>
    </x:row>
    <x:row r="25" ht="28" customHeight="1">
      <x:c r="A25" s="755" t="n">
        <x:v>8</x:v>
      </x:c>
      <x:c r="B25" s="754" t="str">
        <x:v>1024 x 1408 x 2048</x:v>
      </x:c>
      <x:c r="C25" s="755" t="n">
        <x:v>128</x:v>
      </x:c>
      <x:c r="D25" s="755" t="n">
        <x:v>128</x:v>
      </x:c>
      <x:c r="E25" s="792" t="n">
        <x:v>38.7</x:v>
      </x:c>
      <x:c r="F25" s="792" t="n">
        <x:v>51</x:v>
      </x:c>
      <x:c r="G25" s="757" t="n">
        <x:f>F25/E25</x:f>
        <x:v>1.317829457364341</x:v>
      </x:c>
      <x:c r="H25" s="754" t="str">
        <x:v>output64x64_three_cta_runtime_k</x:v>
      </x:c>
      <x:c r="I25" s="755" t="str">
        <x:v>Pass</x:v>
      </x:c>
    </x:row>
    <x:row r="26" ht="28" customHeight="1">
      <x:c r="A26" s="755" t="n">
        <x:v>8</x:v>
      </x:c>
      <x:c r="B26" s="754" t="str">
        <x:v>2048 x 1408 x 2048</x:v>
      </x:c>
      <x:c r="C26" s="755" t="n">
        <x:v>256</x:v>
      </x:c>
      <x:c r="D26" s="755" t="n">
        <x:v>256</x:v>
      </x:c>
      <x:c r="E26" s="792" t="n">
        <x:v>76</x:v>
      </x:c>
      <x:c r="F26" s="792" t="n">
        <x:v>97.1</x:v>
      </x:c>
      <x:c r="G26" s="757" t="n">
        <x:f>F26/E26</x:f>
        <x:v>1.2776315789473685</x:v>
      </x:c>
      <x:c r="H26" s="754" t="str">
        <x:v>output128x64_stage4_full_tile</x:v>
      </x:c>
      <x:c r="I26" s="755" t="str">
        <x:v>Pass</x:v>
      </x:c>
    </x:row>
    <x:row r="27" ht="28" customHeight="1">
      <x:c r="A27" s="755" t="n">
        <x:v>8</x:v>
      </x:c>
      <x:c r="B27" s="754" t="str">
        <x:v>4096 x 1408 x 2048</x:v>
      </x:c>
      <x:c r="C27" s="755" t="n">
        <x:v>512</x:v>
      </x:c>
      <x:c r="D27" s="755" t="n">
        <x:v>512</x:v>
      </x:c>
      <x:c r="E27" s="792" t="n">
        <x:v>148.5</x:v>
      </x:c>
      <x:c r="F27" s="792" t="n">
        <x:v>185.6</x:v>
      </x:c>
      <x:c r="G27" s="757" t="n">
        <x:f>F27/E27</x:f>
        <x:v>1.2498316498316497</x:v>
      </x:c>
      <x:c r="H27" s="754" t="str">
        <x:v>output128x64_output_reuse_handshake</x:v>
      </x:c>
      <x:c r="I27" s="755" t="str">
        <x:v>Pass</x:v>
      </x:c>
    </x:row>
    <x:row r="28" ht="28" customHeight="1">
      <x:c r="A28" s="755" t="n">
        <x:v>8</x:v>
      </x:c>
      <x:c r="B28" s="754" t="str">
        <x:v>128 x 2048 x 1408</x:v>
      </x:c>
      <x:c r="C28" s="755" t="n">
        <x:v>16</x:v>
      </x:c>
      <x:c r="D28" s="755" t="n">
        <x:v>64</x:v>
      </x:c>
      <x:c r="E28" s="792" t="n">
        <x:v>23.5</x:v>
      </x:c>
      <x:c r="F28" s="792" t="n">
        <x:v>28.6</x:v>
      </x:c>
      <x:c r="G28" s="757" t="n">
        <x:f>F28/E28</x:f>
        <x:v>1.2170212765957447</x:v>
      </x:c>
      <x:c r="H28" s="754" t="str">
        <x:v>output64x128_stage2_single_wg</x:v>
      </x:c>
      <x:c r="I28" s="755" t="str">
        <x:v>Pass</x:v>
      </x:c>
    </x:row>
    <x:row r="29" ht="28" customHeight="1">
      <x:c r="A29" s="755" t="n">
        <x:v>8</x:v>
      </x:c>
      <x:c r="B29" s="754" t="str">
        <x:v>256 x 2048 x 1408</x:v>
      </x:c>
      <x:c r="C29" s="755" t="n">
        <x:v>32</x:v>
      </x:c>
      <x:c r="D29" s="755" t="n">
        <x:v>64</x:v>
      </x:c>
      <x:c r="E29" s="792" t="n">
        <x:v>23.4</x:v>
      </x:c>
      <x:c r="F29" s="792" t="n">
        <x:v>28.9</x:v>
      </x:c>
      <x:c r="G29" s="757" t="n">
        <x:f>F29/E29</x:f>
        <x:v>1.235042735042735</x:v>
      </x:c>
      <x:c r="H29" s="754" t="str">
        <x:v>output64x128_stage2_single_wg</x:v>
      </x:c>
      <x:c r="I29" s="755" t="str">
        <x:v>Pass</x:v>
      </x:c>
    </x:row>
    <x:row r="30" ht="28" customHeight="1">
      <x:c r="A30" s="755" t="n">
        <x:v>8</x:v>
      </x:c>
      <x:c r="B30" s="754" t="str">
        <x:v>512 x 2048 x 1408</x:v>
      </x:c>
      <x:c r="C30" s="755" t="n">
        <x:v>64</x:v>
      </x:c>
      <x:c r="D30" s="755" t="n">
        <x:v>64</x:v>
      </x:c>
      <x:c r="E30" s="792" t="n">
        <x:v>22.9</x:v>
      </x:c>
      <x:c r="F30" s="792" t="n">
        <x:v>28.9</x:v>
      </x:c>
      <x:c r="G30" s="757" t="n">
        <x:f>F30/E30</x:f>
        <x:v>1.262008733624454</x:v>
      </x:c>
      <x:c r="H30" s="754" t="str">
        <x:v>output64x128_stage2_single_wg</x:v>
      </x:c>
      <x:c r="I30" s="755" t="str">
        <x:v>Pass</x:v>
      </x:c>
    </x:row>
    <x:row r="31" ht="28" customHeight="1">
      <x:c r="A31" s="755" t="n">
        <x:v>8</x:v>
      </x:c>
      <x:c r="B31" s="754" t="str">
        <x:v>1024 x 2048 x 1408</x:v>
      </x:c>
      <x:c r="C31" s="755" t="n">
        <x:v>128</x:v>
      </x:c>
      <x:c r="D31" s="755" t="n">
        <x:v>128</x:v>
      </x:c>
      <x:c r="E31" s="792" t="n">
        <x:v>43</x:v>
      </x:c>
      <x:c r="F31" s="792" t="n">
        <x:v>53.3</x:v>
      </x:c>
      <x:c r="G31" s="757" t="n">
        <x:f>F31/E31</x:f>
        <x:v>1.2395348837209301</x:v>
      </x:c>
      <x:c r="H31" s="754" t="str">
        <x:v>output128x64_output_reuse_handshake</x:v>
      </x:c>
      <x:c r="I31" s="755" t="str">
        <x:v>Pass</x:v>
      </x:c>
    </x:row>
    <x:row r="32" ht="28" customHeight="1">
      <x:c r="A32" s="755" t="n">
        <x:v>8</x:v>
      </x:c>
      <x:c r="B32" s="754" t="str">
        <x:v>2048 x 2048 x 1408</x:v>
      </x:c>
      <x:c r="C32" s="755" t="n">
        <x:v>256</x:v>
      </x:c>
      <x:c r="D32" s="755" t="n">
        <x:v>256</x:v>
      </x:c>
      <x:c r="E32" s="792" t="n">
        <x:v>75.3</x:v>
      </x:c>
      <x:c r="F32" s="792" t="n">
        <x:v>101.1</x:v>
      </x:c>
      <x:c r="G32" s="757" t="n">
        <x:f>F32/E32</x:f>
        <x:v>1.342629482071713</x:v>
      </x:c>
      <x:c r="H32" s="754" t="str">
        <x:v>output128x64_persistent</x:v>
      </x:c>
      <x:c r="I32" s="755" t="str">
        <x:v>Pass</x:v>
      </x:c>
    </x:row>
    <x:row r="33" ht="28" customHeight="1">
      <x:c r="A33" s="761" t="n">
        <x:v>8</x:v>
      </x:c>
      <x:c r="B33" s="760" t="str">
        <x:v>4096 x 2048 x 1408</x:v>
      </x:c>
      <x:c r="C33" s="761" t="n">
        <x:v>512</x:v>
      </x:c>
      <x:c r="D33" s="761" t="n">
        <x:v>512</x:v>
      </x:c>
      <x:c r="E33" s="793" t="n">
        <x:v>144.9</x:v>
      </x:c>
      <x:c r="F33" s="793" t="n">
        <x:v>197.6</x:v>
      </x:c>
      <x:c r="G33" s="763" t="n">
        <x:f>F33/E33</x:f>
        <x:v>1.3636991028295375</x:v>
      </x:c>
      <x:c r="H33" s="760" t="str">
        <x:v>output128x64_output_reuse_handshake</x:v>
      </x:c>
      <x:c r="I33" s="761" t="str">
        <x:v>Pass</x:v>
      </x:c>
    </x:row>
    <x:row r="34">
      <x:c r="A34" s="442"/>
      <x:c r="B34" s="442"/>
      <x:c r="C34" s="442"/>
      <x:c r="D34" s="442"/>
      <x:c r="E34" s="442"/>
      <x:c r="F34" s="442"/>
      <x:c r="G34" s="442"/>
      <x:c r="H34" s="442"/>
      <x:c r="I34" s="442"/>
    </x:row>
    <x:row r="35" ht="32" customHeight="1">
      <x:c r="A35" s="816" t="str">
        <x:v>Speedup = DeepGEMM latency / hybrid latency. Each row uses the best currently dispatched kernel for that shape; values above 1.0x mean Hybrid Sparse is faster.</x:v>
      </x:c>
      <x:c r="B35" s="816"/>
      <x:c r="C35" s="816"/>
      <x:c r="D35" s="816"/>
      <x:c r="E35" s="816"/>
      <x:c r="F35" s="816"/>
      <x:c r="G35" s="816"/>
      <x:c r="H35" s="816"/>
      <x:c r="I35" s="816"/>
    </x:row>
  </x:sheetData>
  <x:mergeCells>
    <x:mergeCell ref="A1:I1"/>
    <x:mergeCell ref="A2:I2"/>
    <x:mergeCell ref="A4:I4"/>
    <x:mergeCell ref="A20:I20"/>
    <x:mergeCell ref="A35:I35"/>
  </x:mergeCells>
  <x:conditionalFormatting sqref="H5:H5">
    <x:cfRule type="cellIs" dxfId="11" priority="1" operator="greaterThanOrEqual">
      <x:formula>1</x:formula>
    </x:cfRule>
    <x:cfRule type="cellIs" dxfId="12" priority="2" operator="lessThan">
      <x:formula>1</x:formula>
    </x:cfRule>
  </x:conditionalFormatting>
  <x:conditionalFormatting sqref="E10:E15">
    <x:cfRule type="cellIs" dxfId="13" priority="3" operator="greaterThanOrEqual">
      <x:formula>1</x:formula>
    </x:cfRule>
    <x:cfRule type="cellIs" dxfId="14" priority="4" operator="lessThan">
      <x:formula>1</x:formula>
    </x:cfRule>
  </x:conditionalFormatting>
  <x:conditionalFormatting sqref="G6:G17">
    <x:cfRule type="cellIs" dxfId="19" priority="9" operator="greaterThanOrEqual">
      <x:formula>1</x:formula>
    </x:cfRule>
    <x:cfRule type="cellIs" dxfId="20" priority="10" operator="lessThan">
      <x:formula>1</x:formula>
    </x:cfRule>
  </x:conditionalFormatting>
  <x:conditionalFormatting sqref="G22:G33">
    <x:cfRule type="cellIs" dxfId="21" priority="11" operator="greaterThanOrEqual">
      <x:formula>1</x:formula>
    </x:cfRule>
    <x:cfRule type="cellIs" dxfId="22" priority="12" operator="lessThan">
      <x:formula>1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5" hidden="0" customWidth="1"/>
    <x:col min="3" max="3" width="16" hidden="0" customWidth="1"/>
    <x:col min="4" max="4" width="10" hidden="0" customWidth="1"/>
    <x:col min="5" max="5" width="18" hidden="0" customWidth="1"/>
    <x:col min="6" max="6" width="20" hidden="0" customWidth="1"/>
    <x:col min="7" max="7" width="12" hidden="0" customWidth="1"/>
    <x:col min="8" max="8" width="38" hidden="0" customWidth="1"/>
    <x:col min="9" max="9" width="13" hidden="0" customWidth="1"/>
  </x:cols>
  <x:sheetData>
    <x:row r="1" ht="38" customHeight="1">
      <x:c r="A1" s="843" t="str">
        <x:v>Grouped GEMM Expert-Scaling Performance</x:v>
      </x:c>
      <x:c r="B1" s="843"/>
      <x:c r="C1" s="843"/>
      <x:c r="D1" s="843"/>
      <x:c r="E1" s="843"/>
      <x:c r="F1" s="843"/>
      <x:c r="G1" s="843"/>
      <x:c r="H1" s="843"/>
      <x:c r="I1" s="843"/>
    </x:row>
    <x:row r="2" ht="25" customHeight="1">
      <x:c r="A2" s="839" t="str">
        <x:v>NVIDIA H20 | BF16 input/output | FP32 accumulation | 64 x 64 weight blocks | 25% sparsity | Num Experts = 32 / 64 | 100 timing runs | L2 flush disabled</x:v>
      </x:c>
      <x:c r="B2" s="839"/>
      <x:c r="C2" s="839"/>
      <x:c r="D2" s="839"/>
      <x:c r="E2" s="839"/>
      <x:c r="F2" s="839"/>
      <x:c r="G2" s="839"/>
      <x:c r="H2" s="839"/>
      <x:c r="I2" s="839"/>
    </x:row>
    <x:row r="3">
      <x:c r="A3" s="442"/>
      <x:c r="B3" s="442"/>
      <x:c r="C3" s="442"/>
      <x:c r="D3" s="442"/>
      <x:c r="E3" s="442"/>
      <x:c r="F3" s="442"/>
      <x:c r="G3" s="442"/>
      <x:c r="H3" s="442"/>
      <x:c r="I3" s="442"/>
    </x:row>
    <x:row r="4" ht="28" customHeight="1">
      <x:c r="A4" s="840" t="str">
        <x:v>E32 Contiguous Grouped GEMM - Best Kernel per Shape</x:v>
      </x:c>
      <x:c r="B4" s="840"/>
      <x:c r="C4" s="840"/>
      <x:c r="D4" s="840"/>
      <x:c r="E4" s="840"/>
      <x:c r="F4" s="840"/>
      <x:c r="G4" s="840"/>
      <x:c r="H4" s="840"/>
      <x:c r="I4" s="840"/>
    </x:row>
    <x:row r="5" ht="36" customHeight="1">
      <x:c r="A5" s="841" t="str">
        <x:v>Num Experts</x:v>
      </x:c>
      <x:c r="B5" s="841" t="str">
        <x:v>Shape (Total M x N x K)</x:v>
      </x:c>
      <x:c r="C5" s="841" t="str">
        <x:v>Tokens / Expert</x:v>
      </x:c>
      <x:c r="D5" s="841" t="str">
        <x:v>Max M</x:v>
      </x:c>
      <x:c r="E5" s="841" t="str">
        <x:v>Hybrid latency (us)</x:v>
      </x:c>
      <x:c r="F5" s="841" t="str">
        <x:v>DeepGEMM latency (us)</x:v>
      </x:c>
      <x:c r="G5" s="841" t="str">
        <x:v>Speedup</x:v>
      </x:c>
      <x:c r="H5" s="841" t="str">
        <x:v>Best kernel version</x:v>
      </x:c>
      <x:c r="I5" s="841" t="str">
        <x:v>Validation</x:v>
      </x:c>
    </x:row>
    <x:row r="6" ht="28" customHeight="1">
      <x:c r="A6" s="755" t="n">
        <x:v>32</x:v>
      </x:c>
      <x:c r="B6" s="754" t="str">
        <x:v>128 x 1408 x 2048</x:v>
      </x:c>
      <x:c r="C6" s="755" t="n">
        <x:v>4</x:v>
      </x:c>
      <x:c r="D6" s="755" t="n">
        <x:v>64</x:v>
      </x:c>
      <x:c r="E6" s="792" t="n">
        <x:v>164.3</x:v>
      </x:c>
      <x:c r="F6" s="792" t="n">
        <x:v>187.2</x:v>
      </x:c>
      <x:c r="G6" s="757" t="n">
        <x:f>F6/E6</x:f>
        <x:v>1.139379184418746</x:v>
      </x:c>
      <x:c r="H6" s="754" t="str">
        <x:v>output128x64_persistent</x:v>
      </x:c>
      <x:c r="I6" s="755" t="str">
        <x:v>Pass</x:v>
      </x:c>
    </x:row>
    <x:row r="7" ht="28" customHeight="1">
      <x:c r="A7" s="755" t="n">
        <x:v>32</x:v>
      </x:c>
      <x:c r="B7" s="754" t="str">
        <x:v>256 x 1408 x 2048</x:v>
      </x:c>
      <x:c r="C7" s="755" t="n">
        <x:v>8</x:v>
      </x:c>
      <x:c r="D7" s="755" t="n">
        <x:v>64</x:v>
      </x:c>
      <x:c r="E7" s="792" t="n">
        <x:v>164.3</x:v>
      </x:c>
      <x:c r="F7" s="792" t="n">
        <x:v>187.2</x:v>
      </x:c>
      <x:c r="G7" s="757" t="n">
        <x:f>F7/E7</x:f>
        <x:v>1.139379184418746</x:v>
      </x:c>
      <x:c r="H7" s="754" t="str">
        <x:v>output128x64_persistent</x:v>
      </x:c>
      <x:c r="I7" s="755" t="str">
        <x:v>Pass</x:v>
      </x:c>
    </x:row>
    <x:row r="8" ht="28" customHeight="1">
      <x:c r="A8" s="755" t="n">
        <x:v>32</x:v>
      </x:c>
      <x:c r="B8" s="754" t="str">
        <x:v>512 x 1408 x 2048</x:v>
      </x:c>
      <x:c r="C8" s="755" t="n">
        <x:v>16</x:v>
      </x:c>
      <x:c r="D8" s="755" t="n">
        <x:v>64</x:v>
      </x:c>
      <x:c r="E8" s="792" t="n">
        <x:v>163.3</x:v>
      </x:c>
      <x:c r="F8" s="792" t="n">
        <x:v>187</x:v>
      </x:c>
      <x:c r="G8" s="757" t="n">
        <x:f>F8/E8</x:f>
        <x:v>1.1451316595223515</x:v>
      </x:c>
      <x:c r="H8" s="754" t="str">
        <x:v>output128x64_persistent</x:v>
      </x:c>
      <x:c r="I8" s="755" t="str">
        <x:v>Pass</x:v>
      </x:c>
    </x:row>
    <x:row r="9" ht="28" customHeight="1">
      <x:c r="A9" s="755" t="n">
        <x:v>32</x:v>
      </x:c>
      <x:c r="B9" s="754" t="str">
        <x:v>1024 x 1408 x 2048</x:v>
      </x:c>
      <x:c r="C9" s="755" t="n">
        <x:v>32</x:v>
      </x:c>
      <x:c r="D9" s="755" t="n">
        <x:v>64</x:v>
      </x:c>
      <x:c r="E9" s="792" t="n">
        <x:v>161.9</x:v>
      </x:c>
      <x:c r="F9" s="792" t="n">
        <x:v>187</x:v>
      </x:c>
      <x:c r="G9" s="757" t="n">
        <x:f>F9/E9</x:f>
        <x:v>1.1550339715873996</x:v>
      </x:c>
      <x:c r="H9" s="754" t="str">
        <x:v>output128x64_persistent</x:v>
      </x:c>
      <x:c r="I9" s="755" t="str">
        <x:v>Pass</x:v>
      </x:c>
    </x:row>
    <x:row r="10" ht="28" customHeight="1">
      <x:c r="A10" s="755" t="n">
        <x:v>32</x:v>
      </x:c>
      <x:c r="B10" s="754" t="str">
        <x:v>2048 x 1408 x 2048</x:v>
      </x:c>
      <x:c r="C10" s="755" t="n">
        <x:v>64</x:v>
      </x:c>
      <x:c r="D10" s="755" t="n">
        <x:v>64</x:v>
      </x:c>
      <x:c r="E10" s="792" t="n">
        <x:v>159.5</x:v>
      </x:c>
      <x:c r="F10" s="792" t="n">
        <x:v>187</x:v>
      </x:c>
      <x:c r="G10" s="757" t="n">
        <x:f>F10/E10</x:f>
        <x:v>1.1724137931034482</x:v>
      </x:c>
      <x:c r="H10" s="754" t="str">
        <x:v>output128x64_persistent</x:v>
      </x:c>
      <x:c r="I10" s="755" t="str">
        <x:v>Pass</x:v>
      </x:c>
    </x:row>
    <x:row r="11" ht="28" customHeight="1">
      <x:c r="A11" s="755" t="n">
        <x:v>32</x:v>
      </x:c>
      <x:c r="B11" s="754" t="str">
        <x:v>4096 x 1408 x 2048</x:v>
      </x:c>
      <x:c r="C11" s="755" t="n">
        <x:v>128</x:v>
      </x:c>
      <x:c r="D11" s="755" t="n">
        <x:v>128</x:v>
      </x:c>
      <x:c r="E11" s="792" t="n">
        <x:v>154.3</x:v>
      </x:c>
      <x:c r="F11" s="792" t="n">
        <x:v>187.5</x:v>
      </x:c>
      <x:c r="G11" s="757" t="n">
        <x:f>F11/E11</x:f>
        <x:v>1.2151652624756966</x:v>
      </x:c>
      <x:c r="H11" s="754" t="str">
        <x:v>output128x64_persistent</x:v>
      </x:c>
      <x:c r="I11" s="755" t="str">
        <x:v>Pass</x:v>
      </x:c>
    </x:row>
    <x:row r="12" ht="28" customHeight="1">
      <x:c r="A12" s="755" t="n">
        <x:v>32</x:v>
      </x:c>
      <x:c r="B12" s="754" t="str">
        <x:v>128 x 2048 x 1408</x:v>
      </x:c>
      <x:c r="C12" s="755" t="n">
        <x:v>4</x:v>
      </x:c>
      <x:c r="D12" s="755" t="n">
        <x:v>64</x:v>
      </x:c>
      <x:c r="E12" s="792" t="n">
        <x:v>168.9</x:v>
      </x:c>
      <x:c r="F12" s="792" t="n">
        <x:v>198.8</x:v>
      </x:c>
      <x:c r="G12" s="757" t="n">
        <x:f>F12/E12</x:f>
        <x:v>1.177027827116637</x:v>
      </x:c>
      <x:c r="H12" s="754" t="str">
        <x:v>output128x64_persistent</x:v>
      </x:c>
      <x:c r="I12" s="755" t="str">
        <x:v>Pass</x:v>
      </x:c>
    </x:row>
    <x:row r="13" ht="28" customHeight="1">
      <x:c r="A13" s="755" t="n">
        <x:v>32</x:v>
      </x:c>
      <x:c r="B13" s="754" t="str">
        <x:v>256 x 2048 x 1408</x:v>
      </x:c>
      <x:c r="C13" s="755" t="n">
        <x:v>8</x:v>
      </x:c>
      <x:c r="D13" s="755" t="n">
        <x:v>64</x:v>
      </x:c>
      <x:c r="E13" s="792" t="n">
        <x:v>168.3</x:v>
      </x:c>
      <x:c r="F13" s="792" t="n">
        <x:v>199.3</x:v>
      </x:c>
      <x:c r="G13" s="757" t="n">
        <x:f>F13/E13</x:f>
        <x:v>1.184194890077243</x:v>
      </x:c>
      <x:c r="H13" s="754" t="str">
        <x:v>output128x64_persistent</x:v>
      </x:c>
      <x:c r="I13" s="755" t="str">
        <x:v>Pass</x:v>
      </x:c>
    </x:row>
    <x:row r="14" ht="28" customHeight="1">
      <x:c r="A14" s="755" t="n">
        <x:v>32</x:v>
      </x:c>
      <x:c r="B14" s="754" t="str">
        <x:v>512 x 2048 x 1408</x:v>
      </x:c>
      <x:c r="C14" s="755" t="n">
        <x:v>16</x:v>
      </x:c>
      <x:c r="D14" s="755" t="n">
        <x:v>64</x:v>
      </x:c>
      <x:c r="E14" s="792" t="n">
        <x:v>167.6</x:v>
      </x:c>
      <x:c r="F14" s="792" t="n">
        <x:v>199.1</x:v>
      </x:c>
      <x:c r="G14" s="757" t="n">
        <x:f>F14/E14</x:f>
        <x:v>1.187947494033413</x:v>
      </x:c>
      <x:c r="H14" s="754" t="str">
        <x:v>output128x64_persistent</x:v>
      </x:c>
      <x:c r="I14" s="755" t="str">
        <x:v>Pass</x:v>
      </x:c>
    </x:row>
    <x:row r="15" ht="28" customHeight="1">
      <x:c r="A15" s="755" t="n">
        <x:v>32</x:v>
      </x:c>
      <x:c r="B15" s="754" t="str">
        <x:v>1024 x 2048 x 1408</x:v>
      </x:c>
      <x:c r="C15" s="755" t="n">
        <x:v>32</x:v>
      </x:c>
      <x:c r="D15" s="755" t="n">
        <x:v>64</x:v>
      </x:c>
      <x:c r="E15" s="792" t="n">
        <x:v>165.9</x:v>
      </x:c>
      <x:c r="F15" s="792" t="n">
        <x:v>198.9</x:v>
      </x:c>
      <x:c r="G15" s="757" t="n">
        <x:f>F15/E15</x:f>
        <x:v>1.1989150090415912</x:v>
      </x:c>
      <x:c r="H15" s="754" t="str">
        <x:v>output128x64_persistent</x:v>
      </x:c>
      <x:c r="I15" s="755" t="str">
        <x:v>Pass</x:v>
      </x:c>
    </x:row>
    <x:row r="16" ht="28" customHeight="1">
      <x:c r="A16" s="755" t="n">
        <x:v>32</x:v>
      </x:c>
      <x:c r="B16" s="754" t="str">
        <x:v>2048 x 2048 x 1408</x:v>
      </x:c>
      <x:c r="C16" s="755" t="n">
        <x:v>64</x:v>
      </x:c>
      <x:c r="D16" s="755" t="n">
        <x:v>64</x:v>
      </x:c>
      <x:c r="E16" s="792" t="n">
        <x:v>162.1</x:v>
      </x:c>
      <x:c r="F16" s="792" t="n">
        <x:v>199</x:v>
      </x:c>
      <x:c r="G16" s="757" t="n">
        <x:f>F16/E16</x:f>
        <x:v>1.2276372609500308</x:v>
      </x:c>
      <x:c r="H16" s="754" t="str">
        <x:v>output128x64_persistent</x:v>
      </x:c>
      <x:c r="I16" s="755" t="str">
        <x:v>Pass</x:v>
      </x:c>
    </x:row>
    <x:row r="17" ht="28" customHeight="1">
      <x:c r="A17" s="761" t="n">
        <x:v>32</x:v>
      </x:c>
      <x:c r="B17" s="760" t="str">
        <x:v>4096 x 2048 x 1408</x:v>
      </x:c>
      <x:c r="C17" s="761" t="n">
        <x:v>128</x:v>
      </x:c>
      <x:c r="D17" s="761" t="n">
        <x:v>128</x:v>
      </x:c>
      <x:c r="E17" s="793" t="n">
        <x:v>154.5</x:v>
      </x:c>
      <x:c r="F17" s="793" t="n">
        <x:v>198.9</x:v>
      </x:c>
      <x:c r="G17" s="763" t="n">
        <x:f>F17/E17</x:f>
        <x:v>1.2873786407766992</x:v>
      </x:c>
      <x:c r="H17" s="760" t="str">
        <x:v>output128x64_persistent</x:v>
      </x:c>
      <x:c r="I17" s="761" t="str">
        <x:v>Pass</x:v>
      </x:c>
    </x:row>
    <x:row r="18">
      <x:c r="A18" s="442"/>
      <x:c r="B18" s="442"/>
      <x:c r="C18" s="442"/>
      <x:c r="D18" s="442"/>
      <x:c r="E18" s="442"/>
      <x:c r="F18" s="442"/>
      <x:c r="G18" s="442"/>
      <x:c r="H18" s="442"/>
      <x:c r="I18" s="442"/>
    </x:row>
    <x:row r="19">
      <x:c r="A19" s="442"/>
      <x:c r="B19" s="442"/>
      <x:c r="C19" s="442"/>
      <x:c r="D19" s="442"/>
      <x:c r="E19" s="442"/>
      <x:c r="F19" s="442"/>
      <x:c r="G19" s="442"/>
      <x:c r="H19" s="442"/>
      <x:c r="I19" s="442"/>
    </x:row>
    <x:row r="20" ht="28" customHeight="1">
      <x:c r="A20" s="840" t="str">
        <x:v>E32 Masked Grouped GEMM - Best Kernel per Shape</x:v>
      </x:c>
      <x:c r="B20" s="840"/>
      <x:c r="C20" s="840"/>
      <x:c r="D20" s="840"/>
      <x:c r="E20" s="840"/>
      <x:c r="F20" s="840"/>
      <x:c r="G20" s="840"/>
      <x:c r="H20" s="840"/>
      <x:c r="I20" s="840"/>
    </x:row>
    <x:row r="21" ht="36" customHeight="1">
      <x:c r="A21" s="841" t="str">
        <x:v>Num Experts</x:v>
      </x:c>
      <x:c r="B21" s="841" t="str">
        <x:v>Shape (Total M x N x K)</x:v>
      </x:c>
      <x:c r="C21" s="841" t="str">
        <x:v>Tokens / Expert</x:v>
      </x:c>
      <x:c r="D21" s="841" t="str">
        <x:v>Max M</x:v>
      </x:c>
      <x:c r="E21" s="841" t="str">
        <x:v>Hybrid latency (us)</x:v>
      </x:c>
      <x:c r="F21" s="841" t="str">
        <x:v>DeepGEMM latency (us)</x:v>
      </x:c>
      <x:c r="G21" s="841" t="str">
        <x:v>Speedup</x:v>
      </x:c>
      <x:c r="H21" s="841" t="str">
        <x:v>Best kernel version</x:v>
      </x:c>
      <x:c r="I21" s="841" t="str">
        <x:v>Validation</x:v>
      </x:c>
    </x:row>
    <x:row r="22" ht="28" customHeight="1">
      <x:c r="A22" s="755" t="n">
        <x:v>32</x:v>
      </x:c>
      <x:c r="B22" s="754" t="str">
        <x:v>128 x 1408 x 2048</x:v>
      </x:c>
      <x:c r="C22" s="755" t="n">
        <x:v>4</x:v>
      </x:c>
      <x:c r="D22" s="755" t="n">
        <x:v>64</x:v>
      </x:c>
      <x:c r="E22" s="792" t="n">
        <x:v>65.1</x:v>
      </x:c>
      <x:c r="F22" s="792" t="n">
        <x:v>97.9</x:v>
      </x:c>
      <x:c r="G22" s="757" t="n">
        <x:f>F22/E22</x:f>
        <x:v>1.5038402457757298</x:v>
      </x:c>
      <x:c r="H22" s="754" t="str">
        <x:v>output32x64_stage4_adaptive</x:v>
      </x:c>
      <x:c r="I22" s="755" t="str">
        <x:v>Pass</x:v>
      </x:c>
    </x:row>
    <x:row r="23" ht="28" customHeight="1">
      <x:c r="A23" s="755" t="n">
        <x:v>32</x:v>
      </x:c>
      <x:c r="B23" s="754" t="str">
        <x:v>256 x 1408 x 2048</x:v>
      </x:c>
      <x:c r="C23" s="755" t="n">
        <x:v>8</x:v>
      </x:c>
      <x:c r="D23" s="755" t="n">
        <x:v>64</x:v>
      </x:c>
      <x:c r="E23" s="792" t="n">
        <x:v>73.6</x:v>
      </x:c>
      <x:c r="F23" s="792" t="n">
        <x:v>98.6</x:v>
      </x:c>
      <x:c r="G23" s="757" t="n">
        <x:f>F23/E23</x:f>
        <x:v>1.3396739130434783</x:v>
      </x:c>
      <x:c r="H23" s="754" t="str">
        <x:v>output32x64_stage4_adaptive</x:v>
      </x:c>
      <x:c r="I23" s="755" t="str">
        <x:v>Pass</x:v>
      </x:c>
    </x:row>
    <x:row r="24" ht="28" customHeight="1">
      <x:c r="A24" s="755" t="n">
        <x:v>32</x:v>
      </x:c>
      <x:c r="B24" s="754" t="str">
        <x:v>512 x 1408 x 2048</x:v>
      </x:c>
      <x:c r="C24" s="755" t="n">
        <x:v>16</x:v>
      </x:c>
      <x:c r="D24" s="755" t="n">
        <x:v>64</x:v>
      </x:c>
      <x:c r="E24" s="792" t="n">
        <x:v>64.7</x:v>
      </x:c>
      <x:c r="F24" s="792" t="n">
        <x:v>97.9</x:v>
      </x:c>
      <x:c r="G24" s="757" t="n">
        <x:f>F24/E24</x:f>
        <x:v>1.5131375579598145</x:v>
      </x:c>
      <x:c r="H24" s="754" t="str">
        <x:v>output32x64_stage4_adaptive</x:v>
      </x:c>
      <x:c r="I24" s="755" t="str">
        <x:v>Pass</x:v>
      </x:c>
    </x:row>
    <x:row r="25" ht="28" customHeight="1">
      <x:c r="A25" s="755" t="n">
        <x:v>32</x:v>
      </x:c>
      <x:c r="B25" s="754" t="str">
        <x:v>1024 x 1408 x 2048</x:v>
      </x:c>
      <x:c r="C25" s="755" t="n">
        <x:v>32</x:v>
      </x:c>
      <x:c r="D25" s="755" t="n">
        <x:v>64</x:v>
      </x:c>
      <x:c r="E25" s="792" t="n">
        <x:v>64</x:v>
      </x:c>
      <x:c r="F25" s="792" t="n">
        <x:v>98.9</x:v>
      </x:c>
      <x:c r="G25" s="757" t="n">
        <x:f>F25/E25</x:f>
        <x:v>1.5453125</x:v>
      </x:c>
      <x:c r="H25" s="754" t="str">
        <x:v>output32x64_stage4_adaptive</x:v>
      </x:c>
      <x:c r="I25" s="755" t="str">
        <x:v>Pass</x:v>
      </x:c>
    </x:row>
    <x:row r="26" ht="28" customHeight="1">
      <x:c r="A26" s="755" t="n">
        <x:v>32</x:v>
      </x:c>
      <x:c r="B26" s="754" t="str">
        <x:v>2048 x 1408 x 2048</x:v>
      </x:c>
      <x:c r="C26" s="755" t="n">
        <x:v>64</x:v>
      </x:c>
      <x:c r="D26" s="755" t="n">
        <x:v>64</x:v>
      </x:c>
      <x:c r="E26" s="792" t="n">
        <x:v>85.5</x:v>
      </x:c>
      <x:c r="F26" s="792" t="n">
        <x:v>98.6</x:v>
      </x:c>
      <x:c r="G26" s="757" t="n">
        <x:f>F26/E26</x:f>
        <x:v>1.1532163742690058</x:v>
      </x:c>
      <x:c r="H26" s="754" t="str">
        <x:v>fixed_stage2_masked_epilogue</x:v>
      </x:c>
      <x:c r="I26" s="755" t="str">
        <x:v>Pass</x:v>
      </x:c>
    </x:row>
    <x:row r="27" ht="28" customHeight="1">
      <x:c r="A27" s="755" t="n">
        <x:v>32</x:v>
      </x:c>
      <x:c r="B27" s="754" t="str">
        <x:v>4096 x 1408 x 2048</x:v>
      </x:c>
      <x:c r="C27" s="755" t="n">
        <x:v>128</x:v>
      </x:c>
      <x:c r="D27" s="755" t="n">
        <x:v>128</x:v>
      </x:c>
      <x:c r="E27" s="792" t="n">
        <x:v>143</x:v>
      </x:c>
      <x:c r="F27" s="792" t="n">
        <x:v>188.1</x:v>
      </x:c>
      <x:c r="G27" s="757" t="n">
        <x:f>F27/E27</x:f>
        <x:v>1.3153846153846154</x:v>
      </x:c>
      <x:c r="H27" s="754" t="str">
        <x:v>output64x64_three_cta_runtime_k</x:v>
      </x:c>
      <x:c r="I27" s="755" t="str">
        <x:v>Pass</x:v>
      </x:c>
    </x:row>
    <x:row r="28" ht="28" customHeight="1">
      <x:c r="A28" s="755" t="n">
        <x:v>32</x:v>
      </x:c>
      <x:c r="B28" s="754" t="str">
        <x:v>128 x 2048 x 1408</x:v>
      </x:c>
      <x:c r="C28" s="755" t="n">
        <x:v>4</x:v>
      </x:c>
      <x:c r="D28" s="755" t="n">
        <x:v>64</x:v>
      </x:c>
      <x:c r="E28" s="792" t="n">
        <x:v>91.3</x:v>
      </x:c>
      <x:c r="F28" s="792" t="n">
        <x:v>96.8</x:v>
      </x:c>
      <x:c r="G28" s="757" t="n">
        <x:f>F28/E28</x:f>
        <x:v>1.0602409638554218</x:v>
      </x:c>
      <x:c r="H28" s="754" t="str">
        <x:v>output64x128_stage2_single_wg</x:v>
      </x:c>
      <x:c r="I28" s="755" t="str">
        <x:v>Pass</x:v>
      </x:c>
    </x:row>
    <x:row r="29" ht="28" customHeight="1">
      <x:c r="A29" s="755" t="n">
        <x:v>32</x:v>
      </x:c>
      <x:c r="B29" s="754" t="str">
        <x:v>256 x 2048 x 1408</x:v>
      </x:c>
      <x:c r="C29" s="755" t="n">
        <x:v>8</x:v>
      </x:c>
      <x:c r="D29" s="755" t="n">
        <x:v>64</x:v>
      </x:c>
      <x:c r="E29" s="792" t="n">
        <x:v>91.1</x:v>
      </x:c>
      <x:c r="F29" s="792" t="n">
        <x:v>96.7</x:v>
      </x:c>
      <x:c r="G29" s="757" t="n">
        <x:f>F29/E29</x:f>
        <x:v>1.061470911086718</x:v>
      </x:c>
      <x:c r="H29" s="754" t="str">
        <x:v>output64x128_stage2_single_wg</x:v>
      </x:c>
      <x:c r="I29" s="755" t="str">
        <x:v>Pass</x:v>
      </x:c>
    </x:row>
    <x:row r="30" ht="28" customHeight="1">
      <x:c r="A30" s="755" t="n">
        <x:v>32</x:v>
      </x:c>
      <x:c r="B30" s="754" t="str">
        <x:v>512 x 2048 x 1408</x:v>
      </x:c>
      <x:c r="C30" s="755" t="n">
        <x:v>16</x:v>
      </x:c>
      <x:c r="D30" s="755" t="n">
        <x:v>64</x:v>
      </x:c>
      <x:c r="E30" s="792" t="n">
        <x:v>90.7</x:v>
      </x:c>
      <x:c r="F30" s="792" t="n">
        <x:v>96.8</x:v>
      </x:c>
      <x:c r="G30" s="757" t="n">
        <x:f>F30/E30</x:f>
        <x:v>1.0672546857772878</x:v>
      </x:c>
      <x:c r="H30" s="754" t="str">
        <x:v>output64x128_stage2_single_wg</x:v>
      </x:c>
      <x:c r="I30" s="755" t="str">
        <x:v>Pass</x:v>
      </x:c>
    </x:row>
    <x:row r="31" ht="28" customHeight="1">
      <x:c r="A31" s="755" t="n">
        <x:v>32</x:v>
      </x:c>
      <x:c r="B31" s="754" t="str">
        <x:v>1024 x 2048 x 1408</x:v>
      </x:c>
      <x:c r="C31" s="755" t="n">
        <x:v>32</x:v>
      </x:c>
      <x:c r="D31" s="755" t="n">
        <x:v>64</x:v>
      </x:c>
      <x:c r="E31" s="792" t="n">
        <x:v>90.1</x:v>
      </x:c>
      <x:c r="F31" s="792" t="n">
        <x:v>96.5</x:v>
      </x:c>
      <x:c r="G31" s="757" t="n">
        <x:f>F31/E31</x:f>
        <x:v>1.0710321864594896</x:v>
      </x:c>
      <x:c r="H31" s="754" t="str">
        <x:v>output64x128_stage2_single_wg</x:v>
      </x:c>
      <x:c r="I31" s="755" t="str">
        <x:v>Pass</x:v>
      </x:c>
    </x:row>
    <x:row r="32" ht="28" customHeight="1">
      <x:c r="A32" s="755" t="n">
        <x:v>32</x:v>
      </x:c>
      <x:c r="B32" s="754" t="str">
        <x:v>2048 x 2048 x 1408</x:v>
      </x:c>
      <x:c r="C32" s="755" t="n">
        <x:v>64</x:v>
      </x:c>
      <x:c r="D32" s="755" t="n">
        <x:v>64</x:v>
      </x:c>
      <x:c r="E32" s="792" t="n">
        <x:v>88.8</x:v>
      </x:c>
      <x:c r="F32" s="792" t="n">
        <x:v>96.8</x:v>
      </x:c>
      <x:c r="G32" s="757" t="n">
        <x:f>F32/E32</x:f>
        <x:v>1.09009009009009</x:v>
      </x:c>
      <x:c r="H32" s="754" t="str">
        <x:v>output64x128_stage2_single_wg</x:v>
      </x:c>
      <x:c r="I32" s="755" t="str">
        <x:v>Pass</x:v>
      </x:c>
    </x:row>
    <x:row r="33" ht="28" customHeight="1">
      <x:c r="A33" s="761" t="n">
        <x:v>32</x:v>
      </x:c>
      <x:c r="B33" s="760" t="str">
        <x:v>4096 x 2048 x 1408</x:v>
      </x:c>
      <x:c r="C33" s="761" t="n">
        <x:v>128</x:v>
      </x:c>
      <x:c r="D33" s="761" t="n">
        <x:v>128</x:v>
      </x:c>
      <x:c r="E33" s="793" t="n">
        <x:v>148.2</x:v>
      </x:c>
      <x:c r="F33" s="793" t="n">
        <x:v>199.5</x:v>
      </x:c>
      <x:c r="G33" s="763" t="n">
        <x:f>F33/E33</x:f>
        <x:v>1.3461538461538463</x:v>
      </x:c>
      <x:c r="H33" s="760" t="str">
        <x:v>output128x64_output_reuse_handshake</x:v>
      </x:c>
      <x:c r="I33" s="761" t="str">
        <x:v>Pass</x:v>
      </x:c>
    </x:row>
    <x:row r="34">
      <x:c r="A34" s="442"/>
      <x:c r="B34" s="442"/>
      <x:c r="C34" s="442"/>
      <x:c r="D34" s="442"/>
      <x:c r="E34" s="442"/>
      <x:c r="F34" s="442"/>
      <x:c r="G34" s="442"/>
      <x:c r="H34" s="442"/>
      <x:c r="I34" s="442"/>
    </x:row>
    <x:row r="35">
      <x:c r="A35" s="442"/>
      <x:c r="B35" s="442"/>
      <x:c r="C35" s="442"/>
      <x:c r="D35" s="442"/>
      <x:c r="E35" s="442"/>
      <x:c r="F35" s="442"/>
      <x:c r="G35" s="442"/>
      <x:c r="H35" s="442"/>
      <x:c r="I35" s="442"/>
    </x:row>
    <x:row r="36" ht="28" customHeight="1">
      <x:c r="A36" s="840" t="str">
        <x:v>E64 Contiguous Grouped GEMM - Best Kernel per Shape</x:v>
      </x:c>
      <x:c r="B36" s="840"/>
      <x:c r="C36" s="840"/>
      <x:c r="D36" s="840"/>
      <x:c r="E36" s="840"/>
      <x:c r="F36" s="840"/>
      <x:c r="G36" s="840"/>
      <x:c r="H36" s="840"/>
      <x:c r="I36" s="840"/>
    </x:row>
    <x:row r="37" ht="36" customHeight="1">
      <x:c r="A37" s="841" t="str">
        <x:v>Num Experts</x:v>
      </x:c>
      <x:c r="B37" s="841" t="str">
        <x:v>Shape (Total M x N x K)</x:v>
      </x:c>
      <x:c r="C37" s="841" t="str">
        <x:v>Tokens / Expert</x:v>
      </x:c>
      <x:c r="D37" s="841" t="str">
        <x:v>Max M</x:v>
      </x:c>
      <x:c r="E37" s="841" t="str">
        <x:v>Hybrid latency (us)</x:v>
      </x:c>
      <x:c r="F37" s="841" t="str">
        <x:v>DeepGEMM latency (us)</x:v>
      </x:c>
      <x:c r="G37" s="841" t="str">
        <x:v>Speedup</x:v>
      </x:c>
      <x:c r="H37" s="841" t="str">
        <x:v>Best kernel version</x:v>
      </x:c>
      <x:c r="I37" s="841" t="str">
        <x:v>Validation</x:v>
      </x:c>
    </x:row>
    <x:row r="38" ht="28" customHeight="1">
      <x:c r="A38" s="755" t="n">
        <x:v>64</x:v>
      </x:c>
      <x:c r="B38" s="754" t="str">
        <x:v>128 x 1408 x 2048</x:v>
      </x:c>
      <x:c r="C38" s="755" t="n">
        <x:v>2</x:v>
      </x:c>
      <x:c r="D38" s="755" t="n">
        <x:v>64</x:v>
      </x:c>
      <x:c r="E38" s="792" t="n">
        <x:v>320.8</x:v>
      </x:c>
      <x:c r="F38" s="792" t="n">
        <x:v>356.2</x:v>
      </x:c>
      <x:c r="G38" s="757" t="n">
        <x:f>F38/E38</x:f>
        <x:v>1.1103491271820447</x:v>
      </x:c>
      <x:c r="H38" s="754" t="str">
        <x:v>output128x64_persistent</x:v>
      </x:c>
      <x:c r="I38" s="755" t="str">
        <x:v>Pass</x:v>
      </x:c>
    </x:row>
    <x:row r="39" ht="28" customHeight="1">
      <x:c r="A39" s="755" t="n">
        <x:v>64</x:v>
      </x:c>
      <x:c r="B39" s="754" t="str">
        <x:v>256 x 1408 x 2048</x:v>
      </x:c>
      <x:c r="C39" s="755" t="n">
        <x:v>4</x:v>
      </x:c>
      <x:c r="D39" s="755" t="n">
        <x:v>64</x:v>
      </x:c>
      <x:c r="E39" s="792" t="n">
        <x:v>320.2</x:v>
      </x:c>
      <x:c r="F39" s="792" t="n">
        <x:v>355.8</x:v>
      </x:c>
      <x:c r="G39" s="757" t="n">
        <x:f>F39/E39</x:f>
        <x:v>1.1111805121798877</x:v>
      </x:c>
      <x:c r="H39" s="754" t="str">
        <x:v>output128x64_persistent</x:v>
      </x:c>
      <x:c r="I39" s="755" t="str">
        <x:v>Pass</x:v>
      </x:c>
    </x:row>
    <x:row r="40" ht="28" customHeight="1">
      <x:c r="A40" s="755" t="n">
        <x:v>64</x:v>
      </x:c>
      <x:c r="B40" s="754" t="str">
        <x:v>512 x 1408 x 2048</x:v>
      </x:c>
      <x:c r="C40" s="755" t="n">
        <x:v>8</x:v>
      </x:c>
      <x:c r="D40" s="755" t="n">
        <x:v>64</x:v>
      </x:c>
      <x:c r="E40" s="792" t="n">
        <x:v>319.6</x:v>
      </x:c>
      <x:c r="F40" s="792" t="n">
        <x:v>356.2</x:v>
      </x:c>
      <x:c r="G40" s="757" t="n">
        <x:f>F40/E40</x:f>
        <x:v>1.1145181476846056</x:v>
      </x:c>
      <x:c r="H40" s="754" t="str">
        <x:v>output128x64_persistent</x:v>
      </x:c>
      <x:c r="I40" s="755" t="str">
        <x:v>Pass</x:v>
      </x:c>
    </x:row>
    <x:row r="41" ht="28" customHeight="1">
      <x:c r="A41" s="755" t="n">
        <x:v>64</x:v>
      </x:c>
      <x:c r="B41" s="754" t="str">
        <x:v>1024 x 1408 x 2048</x:v>
      </x:c>
      <x:c r="C41" s="755" t="n">
        <x:v>16</x:v>
      </x:c>
      <x:c r="D41" s="755" t="n">
        <x:v>64</x:v>
      </x:c>
      <x:c r="E41" s="792" t="n">
        <x:v>320</x:v>
      </x:c>
      <x:c r="F41" s="792" t="n">
        <x:v>356.3</x:v>
      </x:c>
      <x:c r="G41" s="757" t="n">
        <x:f>F41/E41</x:f>
        <x:v>1.1134375</x:v>
      </x:c>
      <x:c r="H41" s="754" t="str">
        <x:v>output128x64_persistent</x:v>
      </x:c>
      <x:c r="I41" s="755" t="str">
        <x:v>Pass</x:v>
      </x:c>
    </x:row>
    <x:row r="42" ht="28" customHeight="1">
      <x:c r="A42" s="755" t="n">
        <x:v>64</x:v>
      </x:c>
      <x:c r="B42" s="754" t="str">
        <x:v>2048 x 1408 x 2048</x:v>
      </x:c>
      <x:c r="C42" s="755" t="n">
        <x:v>32</x:v>
      </x:c>
      <x:c r="D42" s="755" t="n">
        <x:v>64</x:v>
      </x:c>
      <x:c r="E42" s="792" t="n">
        <x:v>319.3</x:v>
      </x:c>
      <x:c r="F42" s="792" t="n">
        <x:v>357.8</x:v>
      </x:c>
      <x:c r="G42" s="757" t="n">
        <x:f>F42/E42</x:f>
        <x:v>1.120576260569997</x:v>
      </x:c>
      <x:c r="H42" s="754" t="str">
        <x:v>output128x64_persistent</x:v>
      </x:c>
      <x:c r="I42" s="755" t="str">
        <x:v>Pass</x:v>
      </x:c>
    </x:row>
    <x:row r="43" ht="28" customHeight="1">
      <x:c r="A43" s="755" t="n">
        <x:v>64</x:v>
      </x:c>
      <x:c r="B43" s="754" t="str">
        <x:v>4096 x 1408 x 2048</x:v>
      </x:c>
      <x:c r="C43" s="755" t="n">
        <x:v>64</x:v>
      </x:c>
      <x:c r="D43" s="755" t="n">
        <x:v>64</x:v>
      </x:c>
      <x:c r="E43" s="792" t="n">
        <x:v>312.4</x:v>
      </x:c>
      <x:c r="F43" s="792" t="n">
        <x:v>356.5</x:v>
      </x:c>
      <x:c r="G43" s="757" t="n">
        <x:f>F43/E43</x:f>
        <x:v>1.1411651728553138</x:v>
      </x:c>
      <x:c r="H43" s="754" t="str">
        <x:v>output128x64_persistent</x:v>
      </x:c>
      <x:c r="I43" s="755" t="str">
        <x:v>Pass</x:v>
      </x:c>
    </x:row>
    <x:row r="44" ht="28" customHeight="1">
      <x:c r="A44" s="755" t="n">
        <x:v>64</x:v>
      </x:c>
      <x:c r="B44" s="754" t="str">
        <x:v>128 x 2048 x 1408</x:v>
      </x:c>
      <x:c r="C44" s="755" t="n">
        <x:v>2</x:v>
      </x:c>
      <x:c r="D44" s="755" t="n">
        <x:v>64</x:v>
      </x:c>
      <x:c r="E44" s="792" t="n">
        <x:v>339</x:v>
      </x:c>
      <x:c r="F44" s="792" t="n">
        <x:v>367.1</x:v>
      </x:c>
      <x:c r="G44" s="757" t="n">
        <x:f>F44/E44</x:f>
        <x:v>1.0828908554572272</x:v>
      </x:c>
      <x:c r="H44" s="754" t="str">
        <x:v>output128x64_persistent</x:v>
      </x:c>
      <x:c r="I44" s="755" t="str">
        <x:v>Pass</x:v>
      </x:c>
    </x:row>
    <x:row r="45" ht="28" customHeight="1">
      <x:c r="A45" s="755" t="n">
        <x:v>64</x:v>
      </x:c>
      <x:c r="B45" s="754" t="str">
        <x:v>256 x 2048 x 1408</x:v>
      </x:c>
      <x:c r="C45" s="755" t="n">
        <x:v>4</x:v>
      </x:c>
      <x:c r="D45" s="755" t="n">
        <x:v>64</x:v>
      </x:c>
      <x:c r="E45" s="792" t="n">
        <x:v>339.3</x:v>
      </x:c>
      <x:c r="F45" s="792" t="n">
        <x:v>367</x:v>
      </x:c>
      <x:c r="G45" s="757" t="n">
        <x:f>F45/E45</x:f>
        <x:v>1.0816386678455643</x:v>
      </x:c>
      <x:c r="H45" s="754" t="str">
        <x:v>output128x64_persistent</x:v>
      </x:c>
      <x:c r="I45" s="755" t="str">
        <x:v>Pass</x:v>
      </x:c>
    </x:row>
    <x:row r="46" ht="28" customHeight="1">
      <x:c r="A46" s="755" t="n">
        <x:v>64</x:v>
      </x:c>
      <x:c r="B46" s="754" t="str">
        <x:v>512 x 2048 x 1408</x:v>
      </x:c>
      <x:c r="C46" s="755" t="n">
        <x:v>8</x:v>
      </x:c>
      <x:c r="D46" s="755" t="n">
        <x:v>64</x:v>
      </x:c>
      <x:c r="E46" s="792" t="n">
        <x:v>337.9</x:v>
      </x:c>
      <x:c r="F46" s="792" t="n">
        <x:v>367.4</x:v>
      </x:c>
      <x:c r="G46" s="757" t="n">
        <x:f>F46/E46</x:f>
        <x:v>1.0873039360757621</x:v>
      </x:c>
      <x:c r="H46" s="754" t="str">
        <x:v>output128x64_persistent</x:v>
      </x:c>
      <x:c r="I46" s="755" t="str">
        <x:v>Pass</x:v>
      </x:c>
    </x:row>
    <x:row r="47" ht="28" customHeight="1">
      <x:c r="A47" s="755" t="n">
        <x:v>64</x:v>
      </x:c>
      <x:c r="B47" s="754" t="str">
        <x:v>1024 x 2048 x 1408</x:v>
      </x:c>
      <x:c r="C47" s="755" t="n">
        <x:v>16</x:v>
      </x:c>
      <x:c r="D47" s="755" t="n">
        <x:v>64</x:v>
      </x:c>
      <x:c r="E47" s="792" t="n">
        <x:v>337.1</x:v>
      </x:c>
      <x:c r="F47" s="792" t="n">
        <x:v>367.1</x:v>
      </x:c>
      <x:c r="G47" s="757" t="n">
        <x:f>F47/E47</x:f>
        <x:v>1.0889943636902997</x:v>
      </x:c>
      <x:c r="H47" s="754" t="str">
        <x:v>output128x64_persistent</x:v>
      </x:c>
      <x:c r="I47" s="755" t="str">
        <x:v>Pass</x:v>
      </x:c>
    </x:row>
    <x:row r="48" ht="28" customHeight="1">
      <x:c r="A48" s="755" t="n">
        <x:v>64</x:v>
      </x:c>
      <x:c r="B48" s="754" t="str">
        <x:v>2048 x 2048 x 1408</x:v>
      </x:c>
      <x:c r="C48" s="755" t="n">
        <x:v>32</x:v>
      </x:c>
      <x:c r="D48" s="755" t="n">
        <x:v>64</x:v>
      </x:c>
      <x:c r="E48" s="792" t="n">
        <x:v>333.4</x:v>
      </x:c>
      <x:c r="F48" s="792" t="n">
        <x:v>366.6</x:v>
      </x:c>
      <x:c r="G48" s="757" t="n">
        <x:f>F48/E48</x:f>
        <x:v>1.0995800839832035</x:v>
      </x:c>
      <x:c r="H48" s="754" t="str">
        <x:v>output128x64_persistent</x:v>
      </x:c>
      <x:c r="I48" s="755" t="str">
        <x:v>Pass</x:v>
      </x:c>
    </x:row>
    <x:row r="49" ht="28" customHeight="1">
      <x:c r="A49" s="761" t="n">
        <x:v>64</x:v>
      </x:c>
      <x:c r="B49" s="760" t="str">
        <x:v>4096 x 2048 x 1408</x:v>
      </x:c>
      <x:c r="C49" s="761" t="n">
        <x:v>64</x:v>
      </x:c>
      <x:c r="D49" s="761" t="n">
        <x:v>64</x:v>
      </x:c>
      <x:c r="E49" s="793" t="n">
        <x:v>326.6</x:v>
      </x:c>
      <x:c r="F49" s="793" t="n">
        <x:v>368.7</x:v>
      </x:c>
      <x:c r="G49" s="763" t="n">
        <x:f>F49/E49</x:f>
        <x:v>1.1289038579301898</x:v>
      </x:c>
      <x:c r="H49" s="760" t="str">
        <x:v>output128x64_persistent</x:v>
      </x:c>
      <x:c r="I49" s="761" t="str">
        <x:v>Pass</x:v>
      </x:c>
    </x:row>
    <x:row r="50">
      <x:c r="A50" s="442"/>
      <x:c r="B50" s="442"/>
      <x:c r="C50" s="442"/>
      <x:c r="D50" s="442"/>
      <x:c r="E50" s="442"/>
      <x:c r="F50" s="442"/>
      <x:c r="G50" s="442"/>
      <x:c r="H50" s="442"/>
      <x:c r="I50" s="442"/>
    </x:row>
    <x:row r="51">
      <x:c r="A51" s="442"/>
      <x:c r="B51" s="442"/>
      <x:c r="C51" s="442"/>
      <x:c r="D51" s="442"/>
      <x:c r="E51" s="442"/>
      <x:c r="F51" s="442"/>
      <x:c r="G51" s="442"/>
      <x:c r="H51" s="442"/>
      <x:c r="I51" s="442"/>
    </x:row>
    <x:row r="52" ht="28" customHeight="1">
      <x:c r="A52" s="840" t="str">
        <x:v>E64 Masked Grouped GEMM - Best Kernel per Shape</x:v>
      </x:c>
      <x:c r="B52" s="840"/>
      <x:c r="C52" s="840"/>
      <x:c r="D52" s="840"/>
      <x:c r="E52" s="840"/>
      <x:c r="F52" s="840"/>
      <x:c r="G52" s="840"/>
      <x:c r="H52" s="840"/>
      <x:c r="I52" s="840"/>
    </x:row>
    <x:row r="53" ht="36" customHeight="1">
      <x:c r="A53" s="841" t="str">
        <x:v>Num Experts</x:v>
      </x:c>
      <x:c r="B53" s="841" t="str">
        <x:v>Shape (Total M x N x K)</x:v>
      </x:c>
      <x:c r="C53" s="841" t="str">
        <x:v>Tokens / Expert</x:v>
      </x:c>
      <x:c r="D53" s="841" t="str">
        <x:v>Max M</x:v>
      </x:c>
      <x:c r="E53" s="841" t="str">
        <x:v>Hybrid latency (us)</x:v>
      </x:c>
      <x:c r="F53" s="841" t="str">
        <x:v>DeepGEMM latency (us)</x:v>
      </x:c>
      <x:c r="G53" s="841" t="str">
        <x:v>Speedup</x:v>
      </x:c>
      <x:c r="H53" s="841" t="str">
        <x:v>Best kernel version</x:v>
      </x:c>
      <x:c r="I53" s="841" t="str">
        <x:v>Validation</x:v>
      </x:c>
    </x:row>
    <x:row r="54" ht="28" customHeight="1">
      <x:c r="A54" s="755" t="n">
        <x:v>64</x:v>
      </x:c>
      <x:c r="B54" s="754" t="str">
        <x:v>128 x 1408 x 2048</x:v>
      </x:c>
      <x:c r="C54" s="755" t="n">
        <x:v>2</x:v>
      </x:c>
      <x:c r="D54" s="755" t="n">
        <x:v>64</x:v>
      </x:c>
      <x:c r="E54" s="792" t="n">
        <x:v>127.5</x:v>
      </x:c>
      <x:c r="F54" s="792" t="n">
        <x:v>186.4</x:v>
      </x:c>
      <x:c r="G54" s="757" t="n">
        <x:f>F54/E54</x:f>
        <x:v>1.4619607843137254</x:v>
      </x:c>
      <x:c r="H54" s="754" t="str">
        <x:v>output32x64_stage4_adaptive</x:v>
      </x:c>
      <x:c r="I54" s="755" t="str">
        <x:v>Pass</x:v>
      </x:c>
    </x:row>
    <x:row r="55" ht="28" customHeight="1">
      <x:c r="A55" s="755" t="n">
        <x:v>64</x:v>
      </x:c>
      <x:c r="B55" s="754" t="str">
        <x:v>256 x 1408 x 2048</x:v>
      </x:c>
      <x:c r="C55" s="755" t="n">
        <x:v>4</x:v>
      </x:c>
      <x:c r="D55" s="755" t="n">
        <x:v>64</x:v>
      </x:c>
      <x:c r="E55" s="792" t="n">
        <x:v>127.5</x:v>
      </x:c>
      <x:c r="F55" s="792" t="n">
        <x:v>185.8</x:v>
      </x:c>
      <x:c r="G55" s="757" t="n">
        <x:f>F55/E55</x:f>
        <x:v>1.4572549019607843</x:v>
      </x:c>
      <x:c r="H55" s="754" t="str">
        <x:v>output32x64_stage4_adaptive</x:v>
      </x:c>
      <x:c r="I55" s="755" t="str">
        <x:v>Pass</x:v>
      </x:c>
    </x:row>
    <x:row r="56" ht="28" customHeight="1">
      <x:c r="A56" s="755" t="n">
        <x:v>64</x:v>
      </x:c>
      <x:c r="B56" s="754" t="str">
        <x:v>512 x 1408 x 2048</x:v>
      </x:c>
      <x:c r="C56" s="755" t="n">
        <x:v>8</x:v>
      </x:c>
      <x:c r="D56" s="755" t="n">
        <x:v>64</x:v>
      </x:c>
      <x:c r="E56" s="792" t="n">
        <x:v>127.3</x:v>
      </x:c>
      <x:c r="F56" s="792" t="n">
        <x:v>186.1</x:v>
      </x:c>
      <x:c r="G56" s="757" t="n">
        <x:f>F56/E56</x:f>
        <x:v>1.4619010212097407</x:v>
      </x:c>
      <x:c r="H56" s="754" t="str">
        <x:v>output32x64_stage4_adaptive</x:v>
      </x:c>
      <x:c r="I56" s="755" t="str">
        <x:v>Pass</x:v>
      </x:c>
    </x:row>
    <x:row r="57" ht="28" customHeight="1">
      <x:c r="A57" s="755" t="n">
        <x:v>64</x:v>
      </x:c>
      <x:c r="B57" s="754" t="str">
        <x:v>1024 x 1408 x 2048</x:v>
      </x:c>
      <x:c r="C57" s="755" t="n">
        <x:v>16</x:v>
      </x:c>
      <x:c r="D57" s="755" t="n">
        <x:v>64</x:v>
      </x:c>
      <x:c r="E57" s="792" t="n">
        <x:v>126.9</x:v>
      </x:c>
      <x:c r="F57" s="792" t="n">
        <x:v>185.7</x:v>
      </x:c>
      <x:c r="G57" s="757" t="n">
        <x:f>F57/E57</x:f>
        <x:v>1.4633569739952716</x:v>
      </x:c>
      <x:c r="H57" s="754" t="str">
        <x:v>output32x64_stage4_adaptive</x:v>
      </x:c>
      <x:c r="I57" s="755" t="str">
        <x:v>Pass</x:v>
      </x:c>
    </x:row>
    <x:row r="58" ht="28" customHeight="1">
      <x:c r="A58" s="755" t="n">
        <x:v>64</x:v>
      </x:c>
      <x:c r="B58" s="754" t="str">
        <x:v>2048 x 1408 x 2048</x:v>
      </x:c>
      <x:c r="C58" s="755" t="n">
        <x:v>32</x:v>
      </x:c>
      <x:c r="D58" s="755" t="n">
        <x:v>64</x:v>
      </x:c>
      <x:c r="E58" s="792" t="n">
        <x:v>125.7</x:v>
      </x:c>
      <x:c r="F58" s="792" t="n">
        <x:v>185.9</x:v>
      </x:c>
      <x:c r="G58" s="757" t="n">
        <x:f>F58/E58</x:f>
        <x:v>1.4789180588703261</x:v>
      </x:c>
      <x:c r="H58" s="754" t="str">
        <x:v>output32x64_stage4_adaptive</x:v>
      </x:c>
      <x:c r="I58" s="755" t="str">
        <x:v>Pass</x:v>
      </x:c>
    </x:row>
    <x:row r="59" ht="28" customHeight="1">
      <x:c r="A59" s="755" t="n">
        <x:v>64</x:v>
      </x:c>
      <x:c r="B59" s="754" t="str">
        <x:v>4096 x 1408 x 2048</x:v>
      </x:c>
      <x:c r="C59" s="755" t="n">
        <x:v>64</x:v>
      </x:c>
      <x:c r="D59" s="755" t="n">
        <x:v>64</x:v>
      </x:c>
      <x:c r="E59" s="792" t="n">
        <x:v>160.4</x:v>
      </x:c>
      <x:c r="F59" s="792" t="n">
        <x:v>185.7</x:v>
      </x:c>
      <x:c r="G59" s="757" t="n">
        <x:f>F59/E59</x:f>
        <x:v>1.157730673316708</x:v>
      </x:c>
      <x:c r="H59" s="754" t="str">
        <x:v>fixed_stage2_masked_epilogue</x:v>
      </x:c>
      <x:c r="I59" s="755" t="str">
        <x:v>Pass</x:v>
      </x:c>
    </x:row>
    <x:row r="60" ht="28" customHeight="1">
      <x:c r="A60" s="755" t="n">
        <x:v>64</x:v>
      </x:c>
      <x:c r="B60" s="754" t="str">
        <x:v>128 x 2048 x 1408</x:v>
      </x:c>
      <x:c r="C60" s="755" t="n">
        <x:v>2</x:v>
      </x:c>
      <x:c r="D60" s="755" t="n">
        <x:v>64</x:v>
      </x:c>
      <x:c r="E60" s="792" t="n">
        <x:v>161.6</x:v>
      </x:c>
      <x:c r="F60" s="792" t="n">
        <x:v>190.2</x:v>
      </x:c>
      <x:c r="G60" s="757" t="n">
        <x:f>F60/E60</x:f>
        <x:v>1.176980198019802</x:v>
      </x:c>
      <x:c r="H60" s="754" t="str">
        <x:v>output64x128_stage2_single_wg</x:v>
      </x:c>
      <x:c r="I60" s="755" t="str">
        <x:v>Pass</x:v>
      </x:c>
    </x:row>
    <x:row r="61" ht="28" customHeight="1">
      <x:c r="A61" s="755" t="n">
        <x:v>64</x:v>
      </x:c>
      <x:c r="B61" s="754" t="str">
        <x:v>256 x 2048 x 1408</x:v>
      </x:c>
      <x:c r="C61" s="755" t="n">
        <x:v>4</x:v>
      </x:c>
      <x:c r="D61" s="755" t="n">
        <x:v>64</x:v>
      </x:c>
      <x:c r="E61" s="792" t="n">
        <x:v>161.4</x:v>
      </x:c>
      <x:c r="F61" s="792" t="n">
        <x:v>190.7</x:v>
      </x:c>
      <x:c r="G61" s="757" t="n">
        <x:f>F61/E61</x:f>
        <x:v>1.181536555142503</x:v>
      </x:c>
      <x:c r="H61" s="754" t="str">
        <x:v>output64x128_stage2_single_wg</x:v>
      </x:c>
      <x:c r="I61" s="755" t="str">
        <x:v>Pass</x:v>
      </x:c>
    </x:row>
    <x:row r="62" ht="28" customHeight="1">
      <x:c r="A62" s="755" t="n">
        <x:v>64</x:v>
      </x:c>
      <x:c r="B62" s="754" t="str">
        <x:v>512 x 2048 x 1408</x:v>
      </x:c>
      <x:c r="C62" s="755" t="n">
        <x:v>8</x:v>
      </x:c>
      <x:c r="D62" s="755" t="n">
        <x:v>64</x:v>
      </x:c>
      <x:c r="E62" s="792" t="n">
        <x:v>161.5</x:v>
      </x:c>
      <x:c r="F62" s="792" t="n">
        <x:v>190.4</x:v>
      </x:c>
      <x:c r="G62" s="757" t="n">
        <x:f>F62/E62</x:f>
        <x:v>1.1789473684210527</x:v>
      </x:c>
      <x:c r="H62" s="754" t="str">
        <x:v>output64x128_stage2_single_wg</x:v>
      </x:c>
      <x:c r="I62" s="755" t="str">
        <x:v>Pass</x:v>
      </x:c>
    </x:row>
    <x:row r="63" ht="28" customHeight="1">
      <x:c r="A63" s="755" t="n">
        <x:v>64</x:v>
      </x:c>
      <x:c r="B63" s="754" t="str">
        <x:v>1024 x 2048 x 1408</x:v>
      </x:c>
      <x:c r="C63" s="755" t="n">
        <x:v>16</x:v>
      </x:c>
      <x:c r="D63" s="755" t="n">
        <x:v>64</x:v>
      </x:c>
      <x:c r="E63" s="792" t="n">
        <x:v>160.6</x:v>
      </x:c>
      <x:c r="F63" s="792" t="n">
        <x:v>190.5</x:v>
      </x:c>
      <x:c r="G63" s="757" t="n">
        <x:f>F63/E63</x:f>
        <x:v>1.1861768368617684</x:v>
      </x:c>
      <x:c r="H63" s="754" t="str">
        <x:v>output64x128_stage2_single_wg</x:v>
      </x:c>
      <x:c r="I63" s="755" t="str">
        <x:v>Pass</x:v>
      </x:c>
    </x:row>
    <x:row r="64" ht="28" customHeight="1">
      <x:c r="A64" s="755" t="n">
        <x:v>64</x:v>
      </x:c>
      <x:c r="B64" s="754" t="str">
        <x:v>2048 x 2048 x 1408</x:v>
      </x:c>
      <x:c r="C64" s="755" t="n">
        <x:v>32</x:v>
      </x:c>
      <x:c r="D64" s="755" t="n">
        <x:v>64</x:v>
      </x:c>
      <x:c r="E64" s="792" t="n">
        <x:v>159.4</x:v>
      </x:c>
      <x:c r="F64" s="792" t="n">
        <x:v>190.6</x:v>
      </x:c>
      <x:c r="G64" s="757" t="n">
        <x:f>F64/E64</x:f>
        <x:v>1.1957340025094103</x:v>
      </x:c>
      <x:c r="H64" s="754" t="str">
        <x:v>output64x128_stage2_single_wg</x:v>
      </x:c>
      <x:c r="I64" s="755" t="str">
        <x:v>Pass</x:v>
      </x:c>
    </x:row>
    <x:row r="65" ht="28" customHeight="1">
      <x:c r="A65" s="761" t="n">
        <x:v>64</x:v>
      </x:c>
      <x:c r="B65" s="760" t="str">
        <x:v>4096 x 2048 x 1408</x:v>
      </x:c>
      <x:c r="C65" s="761" t="n">
        <x:v>64</x:v>
      </x:c>
      <x:c r="D65" s="761" t="n">
        <x:v>64</x:v>
      </x:c>
      <x:c r="E65" s="793" t="n">
        <x:v>156.7</x:v>
      </x:c>
      <x:c r="F65" s="793" t="n">
        <x:v>190.4</x:v>
      </x:c>
      <x:c r="G65" s="763" t="n">
        <x:f>F65/E65</x:f>
        <x:v>1.2150606253988514</x:v>
      </x:c>
      <x:c r="H65" s="760" t="str">
        <x:v>output64x128_stage2_single_wg</x:v>
      </x:c>
      <x:c r="I65" s="761" t="str">
        <x:v>Pass</x:v>
      </x:c>
    </x:row>
    <x:row r="66">
      <x:c r="A66" s="442"/>
      <x:c r="B66" s="442"/>
      <x:c r="C66" s="442"/>
      <x:c r="D66" s="442"/>
      <x:c r="E66" s="442"/>
      <x:c r="F66" s="442"/>
      <x:c r="G66" s="442"/>
      <x:c r="H66" s="442"/>
      <x:c r="I66" s="442"/>
    </x:row>
    <x:row r="67">
      <x:c r="A67" s="442"/>
      <x:c r="B67" s="442"/>
      <x:c r="C67" s="442"/>
      <x:c r="D67" s="442"/>
      <x:c r="E67" s="442"/>
      <x:c r="F67" s="442"/>
      <x:c r="G67" s="442"/>
      <x:c r="H67" s="442"/>
      <x:c r="I67" s="442"/>
    </x:row>
    <x:row r="68" ht="34" customHeight="1">
      <x:c r="A68" s="842" t="str">
        <x:v>Speedup = DeepGEMM latency / hybrid latency. Total valid M is fixed while tokens/expert decreases as expert count grows. Every row uses the best currently dispatched kernel and passed the benchmark output comparison.</x:v>
      </x:c>
      <x:c r="B68" s="842"/>
      <x:c r="C68" s="842"/>
      <x:c r="D68" s="842"/>
      <x:c r="E68" s="842"/>
      <x:c r="F68" s="842"/>
      <x:c r="G68" s="842"/>
      <x:c r="H68" s="842"/>
      <x:c r="I68" s="842"/>
    </x:row>
  </x:sheetData>
  <x:mergeCells>
    <x:mergeCell ref="A1:I1"/>
    <x:mergeCell ref="A2:I2"/>
    <x:mergeCell ref="A4:I4"/>
    <x:mergeCell ref="A20:I20"/>
    <x:mergeCell ref="A36:I36"/>
    <x:mergeCell ref="A52:I52"/>
    <x:mergeCell ref="A68:I68"/>
  </x:mergeCells>
  <x:conditionalFormatting sqref="G6:G17">
    <x:cfRule type="cellIs" dxfId="23" priority="1" operator="greaterThanOrEqual">
      <x:formula>1</x:formula>
    </x:cfRule>
    <x:cfRule type="cellIs" dxfId="24" priority="2" operator="lessThan">
      <x:formula>1</x:formula>
    </x:cfRule>
  </x:conditionalFormatting>
  <x:conditionalFormatting sqref="G22:G33">
    <x:cfRule type="cellIs" dxfId="25" priority="3" operator="greaterThanOrEqual">
      <x:formula>1</x:formula>
    </x:cfRule>
    <x:cfRule type="cellIs" dxfId="26" priority="4" operator="lessThan">
      <x:formula>1</x:formula>
    </x:cfRule>
  </x:conditionalFormatting>
  <x:conditionalFormatting sqref="G38:G49">
    <x:cfRule type="cellIs" dxfId="27" priority="5" operator="greaterThanOrEqual">
      <x:formula>1</x:formula>
    </x:cfRule>
    <x:cfRule type="cellIs" dxfId="28" priority="6" operator="lessThan">
      <x:formula>1</x:formula>
    </x:cfRule>
  </x:conditionalFormatting>
  <x:conditionalFormatting sqref="G54:G65">
    <x:cfRule type="cellIs" dxfId="29" priority="7" operator="greaterThanOrEqual">
      <x:formula>1</x:formula>
    </x:cfRule>
    <x:cfRule type="cellIs" dxfId="30" priority="8" operator="lessThan">
      <x:formula>1</x:formula>
    </x:cfRule>
  </x:conditionalFormatting>
  <x:pageMargins left="0.7" right="0.7" top="0.75" bottom="0.75" header="0.3" footer="0.3"/>
</x:worksheet>
</file>