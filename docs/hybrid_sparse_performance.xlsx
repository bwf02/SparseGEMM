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badcb97d694f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adf88247ea634bb6"/>
    <x:sheet xmlns:r="http://schemas.openxmlformats.org/officeDocument/2006/relationships" name="Accuracy" sheetId="2" r:id="R3e8d66059f7a40c8"/>
    <x:sheet xmlns:r="http://schemas.openxmlformats.org/officeDocument/2006/relationships" name="Persistent LaneReady" sheetId="3" r:id="R27ba814d69b3493b"/>
    <x:sheet xmlns:r="http://schemas.openxmlformats.org/officeDocument/2006/relationships" name="cuBLAS Baseline" sheetId="4" r:id="R449e4596194542b7"/>
    <x:sheet xmlns:r="http://schemas.openxmlformats.org/officeDocument/2006/relationships" name="128x32 Stage3" sheetId="5" r:id="R47f2af311a5c46b4"/>
    <x:sheet xmlns:r="http://schemas.openxmlformats.org/officeDocument/2006/relationships" name="Merge K2" sheetId="6" r:id="Rf660b3c357524fd0"/>
    <x:sheet xmlns:r="http://schemas.openxmlformats.org/officeDocument/2006/relationships" name="TMA Pipeline Stages" sheetId="7" r:id="R03d73db18b7c48e0"/>
    <x:sheet xmlns:r="http://schemas.openxmlformats.org/officeDocument/2006/relationships" name="Register Realloc" sheetId="8" r:id="Rca5900293eb04b18"/>
    <x:sheet xmlns:r="http://schemas.openxmlformats.org/officeDocument/2006/relationships" name="Metadata Iterations" sheetId="9" r:id="Rfe336d99dd0144f1"/>
    <x:sheet xmlns:r="http://schemas.openxmlformats.org/officeDocument/2006/relationships" name="Output Tile Reuse" sheetId="10" r:id="R459819cea6494ebd"/>
    <x:sheet xmlns:r="http://schemas.openxmlformats.org/officeDocument/2006/relationships" name="All Specified Shapes" sheetId="11" r:id="Re593b7346bca40a2"/>
    <x:sheet xmlns:r="http://schemas.openxmlformats.org/officeDocument/2006/relationships" name="Tuned Dispatch" sheetId="12" r:id="Re1d4deb8fab44e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  <x:numFmt numFmtId="209" formatCode="0"/>
  </x:numFmts>
  <x:fonts count="56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  <x:font>
      <x:sz val="11"/>
      <x:color rgb="FF9A3412"/>
      <x:name val="Arial"/>
    </x:font>
    <x:font>
      <x:sz val="10"/>
      <x:color rgb="FF155B7A"/>
      <x:name val="Carlito"/>
    </x:font>
    <x:font>
      <x:b/>
      <x:sz val="13"/>
      <x:color rgb="FFFFFFFF"/>
      <x:name val="Carlito"/>
    </x:font>
    <x:font>
      <x:i/>
      <x:sz val="9"/>
      <x:color rgb="FF52657A"/>
      <x:name val="Carlito"/>
    </x:font>
    <x:font>
      <x:b/>
      <x:sz val="11"/>
      <x:color rgb="FF24456E"/>
      <x:name val="Carlito"/>
    </x:font>
    <x:font>
      <x:b/>
      <x:sz val="11"/>
      <x:color rgb="FF176B35"/>
      <x:name val="Carlito"/>
    </x:font>
    <x:font>
      <x:b/>
      <x:sz val="18"/>
      <x:color rgb="FFFFFFFF"/>
      <x:name val="Arial"/>
    </x:font>
    <x:font>
      <x:sz val="10"/>
      <x:color rgb="FF155B7A"/>
      <x:name val="Arial"/>
    </x:font>
    <x:font>
      <x:b/>
      <x:sz val="11"/>
      <x:color rgb="FF24456E"/>
      <x:name val="Arial"/>
    </x:font>
    <x:font>
      <x:b/>
      <x:sz val="11"/>
      <x:color rgb="FF176B35"/>
      <x:name val="Arial"/>
    </x:font>
    <x:font>
      <x:b/>
      <x:sz val="13"/>
      <x:color rgb="FFFFFFFF"/>
      <x:name val="Arial"/>
    </x:font>
    <x:font>
      <x:i/>
      <x:sz val="9"/>
      <x:color rgb="FF52657A"/>
      <x:name val="Arial"/>
    </x:font>
    <x:font>
      <x:sz val="10"/>
      <x:color rgb="FF236B86"/>
      <x:name val="Carlito"/>
    </x:font>
    <x:font>
      <x:b/>
      <x:sz val="12"/>
      <x:color rgb="FFFFFFFF"/>
      <x:name val="Carlito"/>
    </x:font>
    <x:font>
      <x:b/>
      <x:sz val="11"/>
      <x:color rgb="FF1D6B3C"/>
      <x:name val="Carlito"/>
    </x:font>
    <x:font>
      <x:b/>
      <x:sz val="11"/>
      <x:name val="Carlito"/>
    </x:font>
    <x:font>
      <x:i/>
      <x:sz val="11"/>
      <x:color rgb="FF4E5D6C"/>
      <x:name val="Carlito"/>
    </x:font>
    <x:font>
      <x:b/>
      <x:sz val="18"/>
      <x:color rgb="FFFFFFFF"/>
      <x:name val="Aptos"/>
    </x:font>
    <x:font>
      <x:sz val="10"/>
      <x:color rgb="FF236B86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1D6B3C"/>
      <x:name val="Aptos"/>
    </x:font>
    <x:font>
      <x:b/>
      <x:sz val="12"/>
      <x:color rgb="FFFFFFFF"/>
      <x:name val="Aptos"/>
    </x:font>
    <x:font>
      <x:b/>
      <x:sz val="11"/>
      <x:name val="Aptos"/>
    </x:font>
    <x:font>
      <x:i/>
      <x:sz val="11"/>
      <x:color rgb="FF4E5D6C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D6B3C"/>
      <x:name val="Aptos"/>
    </x:font>
    <x:font>
      <x:b/>
      <x:sz val="10"/>
      <x:name val="Aptos"/>
    </x:font>
    <x:font>
      <x:i/>
      <x:sz val="10"/>
      <x:color rgb="FF4E5D6C"/>
      <x:name val="Aptos"/>
    </x:font>
    <x:font>
      <x:sz val="11"/>
      <x:color rgb="FF17637D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i/>
      <x:sz val="10"/>
      <x:color rgb="FF526174"/>
      <x:name val="Carlito"/>
    </x:font>
  </x:fonts>
  <x:fills count="55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B2B5B"/>
      </x:patternFill>
    </x:fill>
    <x:fill>
      <x:patternFill patternType="solid">
        <x:fgColor rgb="FFDCEEF8"/>
      </x:patternFill>
    </x:fill>
    <x:fill>
      <x:patternFill patternType="solid">
        <x:fgColor rgb="FF24456E"/>
      </x:patternFill>
    </x:fill>
    <x:fill>
      <x:patternFill patternType="solid">
        <x:fgColor rgb="FFF5F8FC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203764"/>
      </x:patternFill>
    </x:fill>
    <x:fill>
      <x:patternFill patternType="solid">
        <x:fgColor rgb="FFD9EAF7"/>
      </x:patternFill>
    </x:fill>
    <x:fill>
      <x:patternFill patternType="solid">
        <x:fgColor rgb="FF274A78"/>
      </x:patternFill>
    </x:fill>
    <x:fill>
      <x:patternFill patternType="solid">
        <x:fgColor rgb="FFEDF2F7"/>
      </x:patternFill>
    </x:fill>
    <x:fill>
      <x:patternFill patternType="solid">
        <x:fgColor rgb="FFF4F7FA"/>
      </x:patternFill>
    </x:fill>
  </x:fills>
  <x:borders count="44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bottom style="thin">
        <x:color rgb="FFD8E0EA"/>
      </x:bottom>
    </x:border>
    <x:border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top style="thin">
        <x:color rgb="FFD8E0EA"/>
      </x:top>
      <x:bottom style="thin">
        <x:color rgb="FFD8E0EA"/>
      </x:bottom>
    </x:border>
    <x:border>
      <x:right style="thin">
        <x:color rgb="FFD8E0EA"/>
      </x:right>
      <x:top style="thin">
        <x:color rgb="FFD8E0EA"/>
      </x:top>
    </x:border>
    <x:border>
      <x:left style="thin">
        <x:color rgb="FFD8E0EA"/>
      </x:left>
      <x:right style="thin">
        <x:color rgb="FFD8E0EA"/>
      </x:right>
      <x:top style="thin">
        <x:color rgb="FFD8E0EA"/>
      </x:top>
    </x:border>
    <x:border>
      <x:left style="thin">
        <x:color rgb="FFD8E0EA"/>
      </x:left>
      <x:top style="thin">
        <x:color rgb="FFD8E0EA"/>
      </x:top>
    </x:border>
    <x:border>
      <x:right style="thin">
        <x:color rgb="FFD7DEE8"/>
      </x:right>
    </x:border>
    <x:border>
      <x:left style="thin">
        <x:color rgb="FFD7DEE8"/>
      </x:left>
      <x:right style="thin">
        <x:color rgb="FFD7DEE8"/>
      </x:right>
    </x:border>
    <x:border>
      <x:left style="thin">
        <x:color rgb="FFD7DEE8"/>
      </x:left>
    </x:border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D8E1EC"/>
      </x:bottom>
    </x:border>
    <x:border>
      <x:top style="thin">
        <x:color rgb="FFD8E1EC"/>
      </x:top>
      <x:bottom style="thin">
        <x:color rgb="FFD8E1EC"/>
      </x:bottom>
    </x:border>
    <x:border>
      <x:top style="thin">
        <x:color rgb="FFD8E1EC"/>
      </x:top>
    </x:border>
  </x:borders>
  <x:cellStyleXfs count="1">
    <x:xf numFmtId="0" fontId="0" fillId="0" borderId="0"/>
  </x:cellStyleXfs>
  <x:cellXfs count="6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15" fillId="29" borderId="0" xfId="0" applyNumberFormat="1" applyFont="1" applyFill="1" applyBorder="1"/>
    <x:xf numFmtId="0" fontId="15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16" fillId="30" borderId="0" xfId="0" applyNumberFormat="1" applyFont="1" applyFill="1" applyBorder="1"/>
    <x:xf numFmtId="0" fontId="16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0" fontId="18" fillId="31" borderId="0" xfId="0" applyNumberFormat="1" applyFont="1" applyFill="1" applyBorder="1" applyAlignment="1">
      <x:alignment wrapText="1"/>
    </x:xf>
    <x:xf numFmtId="0" fontId="18" fillId="31" borderId="0" xfId="0" applyNumberFormat="1" applyFont="1" applyFill="1" applyBorder="1" applyAlignment="1">
      <x:alignment horizontal="center" wrapText="1"/>
    </x:xf>
    <x:xf numFmtId="0" fontId="18" fillId="31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/>
    <x:xf numFmtId="0" fontId="18" fillId="31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17" fillId="0" borderId="18" xfId="0" applyNumberFormat="1" applyFont="1" applyFill="1" applyBorder="1" applyAlignment="1">
      <x:alignment wrapText="1"/>
    </x:xf>
    <x:xf numFmtId="0" fontId="17" fillId="0" borderId="19" xfId="0" applyNumberFormat="1" applyFont="1" applyFill="1" applyBorder="1" applyAlignment="1">
      <x:alignment wrapText="1"/>
    </x:xf>
    <x:xf numFmtId="204" fontId="17" fillId="0" borderId="18" xfId="0" applyNumberFormat="1" applyFont="1" applyFill="1" applyBorder="1"/>
    <x:xf numFmtId="0" fontId="17" fillId="32" borderId="0" xfId="0" applyNumberFormat="1" applyFont="1" applyFill="1" applyBorder="1"/>
    <x:xf numFmtId="0" fontId="20" fillId="32" borderId="0" xfId="0" applyNumberFormat="1" applyFont="1" applyFill="1" applyBorder="1"/>
    <x:xf numFmtId="0" fontId="20" fillId="32" borderId="0" xfId="0" applyNumberFormat="1" applyFont="1" applyFill="1" applyBorder="1" applyAlignment="1">
      <x:alignment wrapText="1"/>
    </x:xf>
    <x:xf numFmtId="0" fontId="17" fillId="33" borderId="0" xfId="0" applyNumberFormat="1" applyFont="1" applyFill="1" applyBorder="1"/>
    <x:xf numFmtId="0" fontId="22" fillId="33" borderId="0" xfId="0" applyNumberFormat="1" applyFont="1" applyFill="1" applyBorder="1"/>
    <x:xf numFmtId="0" fontId="2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3" fillId="35" borderId="0" xfId="0" applyNumberFormat="1" applyFont="1" applyFill="1" applyBorder="1"/>
    <x:xf numFmtId="0" fontId="23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horizontal="center" wrapText="1"/>
    </x:xf>
    <x:xf numFmtId="0" fontId="9" fillId="36" borderId="0" xfId="0" applyNumberFormat="1" applyFont="1" applyFill="1" applyBorder="1" applyAlignment="1">
      <x:alignment horizontal="center" vertical="center" wrapText="1"/>
    </x:xf>
    <x:xf numFmtId="0" fontId="24" fillId="34" borderId="0" xfId="0" applyNumberFormat="1" applyFont="1" applyFill="1" applyBorder="1"/>
    <x:xf numFmtId="0" fontId="24" fillId="34" borderId="0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0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left"/>
    </x:xf>
    <x:xf numFmtId="0" fontId="0" fillId="0" borderId="23" xfId="0" applyNumberFormat="1" applyFont="1" applyFill="1" applyBorder="1" applyAlignment="1">
      <x:alignment horizontal="left"/>
    </x:xf>
    <x:xf numFmtId="0" fontId="0" fillId="0" borderId="24" xfId="0" applyNumberFormat="1" applyFont="1" applyFill="1" applyBorder="1" applyAlignment="1">
      <x:alignment horizontal="left"/>
    </x:xf>
    <x:xf numFmtId="0" fontId="0" fillId="0" borderId="26" xfId="0" applyNumberFormat="1" applyFont="1" applyFill="1" applyBorder="1" applyAlignment="1">
      <x:alignment horizontal="left"/>
    </x:xf>
    <x:xf numFmtId="0" fontId="0" fillId="0" borderId="27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right"/>
    </x:xf>
    <x:xf numFmtId="0" fontId="0" fillId="0" borderId="22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right"/>
    </x:xf>
    <x:xf numFmtId="0" fontId="0" fillId="0" borderId="25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right"/>
    </x:xf>
    <x:xf numFmtId="0" fontId="0" fillId="0" borderId="28" xfId="0" applyNumberFormat="1" applyFont="1" applyFill="1" applyBorder="1" applyAlignment="1">
      <x:alignment horizontal="right"/>
    </x:xf>
    <x:xf numFmtId="206" fontId="0" fillId="0" borderId="21" xfId="0" applyNumberFormat="1" applyFont="1" applyFill="1" applyBorder="1" applyAlignment="1">
      <x:alignment horizontal="right"/>
    </x:xf>
    <x:xf numFmtId="206" fontId="0" fillId="0" borderId="24" xfId="0" applyNumberFormat="1" applyFont="1" applyFill="1" applyBorder="1" applyAlignment="1">
      <x:alignment horizontal="right"/>
    </x:xf>
    <x:xf numFmtId="206" fontId="0" fillId="0" borderId="27" xfId="0" applyNumberFormat="1" applyFont="1" applyFill="1" applyBorder="1" applyAlignment="1">
      <x:alignment horizontal="right"/>
    </x:xf>
    <x:xf numFmtId="201" fontId="0" fillId="0" borderId="21" xfId="0" applyNumberFormat="1" applyFont="1" applyFill="1" applyBorder="1" applyAlignment="1">
      <x:alignment horizontal="right"/>
    </x:xf>
    <x:xf numFmtId="201" fontId="0" fillId="0" borderId="24" xfId="0" applyNumberFormat="1" applyFont="1" applyFill="1" applyBorder="1" applyAlignment="1">
      <x:alignment horizontal="right"/>
    </x:xf>
    <x:xf numFmtId="201" fontId="0" fillId="0" borderId="27" xfId="0" applyNumberFormat="1" applyFont="1" applyFill="1" applyBorder="1" applyAlignment="1">
      <x:alignment horizontal="right"/>
    </x:xf>
    <x:xf numFmtId="208" fontId="0" fillId="0" borderId="21" xfId="0" applyNumberFormat="1" applyFont="1" applyFill="1" applyBorder="1" applyAlignment="1">
      <x:alignment horizontal="right"/>
    </x:xf>
    <x:xf numFmtId="208" fontId="0" fillId="0" borderId="24" xfId="0" applyNumberFormat="1" applyFont="1" applyFill="1" applyBorder="1" applyAlignment="1">
      <x:alignment horizontal="right"/>
    </x:xf>
    <x:xf numFmtId="208" fontId="0" fillId="0" borderId="27" xfId="0" applyNumberFormat="1" applyFont="1" applyFill="1" applyBorder="1" applyAlignment="1">
      <x:alignment horizontal="right"/>
    </x:xf>
    <x:xf numFmtId="209" fontId="0" fillId="0" borderId="21" xfId="0" applyNumberFormat="1" applyFont="1" applyFill="1" applyBorder="1" applyAlignment="1">
      <x:alignment horizontal="right"/>
    </x:xf>
    <x:xf numFmtId="209" fontId="0" fillId="0" borderId="24" xfId="0" applyNumberFormat="1" applyFont="1" applyFill="1" applyBorder="1" applyAlignment="1">
      <x:alignment horizontal="right"/>
    </x:xf>
    <x:xf numFmtId="209" fontId="0" fillId="0" borderId="27" xfId="0" applyNumberFormat="1" applyFont="1" applyFill="1" applyBorder="1" applyAlignment="1">
      <x:alignment horizontal="right"/>
    </x:xf>
    <x:xf numFmtId="204" fontId="0" fillId="0" borderId="22" xfId="0" applyNumberFormat="1" applyFont="1" applyFill="1" applyBorder="1" applyAlignment="1">
      <x:alignment horizontal="right"/>
    </x:xf>
    <x:xf numFmtId="204" fontId="0" fillId="0" borderId="25" xfId="0" applyNumberFormat="1" applyFont="1" applyFill="1" applyBorder="1" applyAlignment="1">
      <x:alignment horizontal="right"/>
    </x:xf>
    <x:xf numFmtId="204" fontId="0" fillId="0" borderId="28" xfId="0" applyNumberFormat="1" applyFont="1" applyFill="1" applyBorder="1" applyAlignment="1">
      <x:alignment horizontal="right"/>
    </x:xf>
    <x:xf numFmtId="200" fontId="0" fillId="0" borderId="21" xfId="0" applyNumberFormat="1" applyFont="1" applyFill="1" applyBorder="1" applyAlignment="1">
      <x:alignment horizontal="right"/>
    </x:xf>
    <x:xf numFmtId="200" fontId="0" fillId="0" borderId="24" xfId="0" applyNumberFormat="1" applyFont="1" applyFill="1" applyBorder="1" applyAlignment="1">
      <x:alignment horizontal="right"/>
    </x:xf>
    <x:xf numFmtId="200" fontId="0" fillId="0" borderId="27" xfId="0" applyNumberFormat="1" applyFont="1" applyFill="1" applyBorder="1" applyAlignment="1">
      <x:alignment horizontal="right"/>
    </x:xf>
    <x:xf numFmtId="0" fontId="0" fillId="37" borderId="0" xfId="0" applyNumberFormat="1" applyFont="1" applyFill="1" applyBorder="1"/>
    <x:xf numFmtId="0" fontId="25" fillId="37" borderId="0" xfId="0" applyNumberFormat="1" applyFont="1" applyFill="1" applyBorder="1"/>
    <x:xf numFmtId="0" fontId="25" fillId="37" borderId="0" xfId="0" applyNumberFormat="1" applyFont="1" applyFill="1" applyBorder="1" applyAlignment="1">
      <x:alignment wrapText="1"/>
    </x:xf>
    <x:xf numFmtId="0" fontId="25" fillId="37" borderId="0" xfId="0" applyNumberFormat="1" applyFont="1" applyFill="1" applyBorder="1" applyAlignment="1">
      <x:alignment vertical="center" wrapText="1"/>
    </x:xf>
    <x:xf numFmtId="0" fontId="26" fillId="0" borderId="20" xfId="0" applyNumberFormat="1" applyFont="1" applyFill="1" applyBorder="1" applyAlignment="1">
      <x:alignment horizontal="left"/>
    </x:xf>
    <x:xf numFmtId="0" fontId="26" fillId="0" borderId="21" xfId="0" applyNumberFormat="1" applyFont="1" applyFill="1" applyBorder="1" applyAlignment="1">
      <x:alignment horizontal="left"/>
    </x:xf>
    <x:xf numFmtId="206" fontId="26" fillId="0" borderId="21" xfId="0" applyNumberFormat="1" applyFont="1" applyFill="1" applyBorder="1" applyAlignment="1">
      <x:alignment horizontal="right"/>
    </x:xf>
    <x:xf numFmtId="201" fontId="26" fillId="0" borderId="21" xfId="0" applyNumberFormat="1" applyFont="1" applyFill="1" applyBorder="1" applyAlignment="1">
      <x:alignment horizontal="right"/>
    </x:xf>
    <x:xf numFmtId="208" fontId="26" fillId="0" borderId="21" xfId="0" applyNumberFormat="1" applyFont="1" applyFill="1" applyBorder="1" applyAlignment="1">
      <x:alignment horizontal="right"/>
    </x:xf>
    <x:xf numFmtId="209" fontId="26" fillId="0" borderId="21" xfId="0" applyNumberFormat="1" applyFont="1" applyFill="1" applyBorder="1" applyAlignment="1">
      <x:alignment horizontal="right"/>
    </x:xf>
    <x:xf numFmtId="204" fontId="26" fillId="0" borderId="22" xfId="0" applyNumberFormat="1" applyFont="1" applyFill="1" applyBorder="1" applyAlignment="1">
      <x:alignment horizontal="right"/>
    </x:xf>
    <x:xf numFmtId="0" fontId="27" fillId="0" borderId="26" xfId="0" applyNumberFormat="1" applyFont="1" applyFill="1" applyBorder="1" applyAlignment="1">
      <x:alignment horizontal="left"/>
    </x:xf>
    <x:xf numFmtId="0" fontId="27" fillId="0" borderId="27" xfId="0" applyNumberFormat="1" applyFont="1" applyFill="1" applyBorder="1" applyAlignment="1">
      <x:alignment horizontal="left"/>
    </x:xf>
    <x:xf numFmtId="206" fontId="27" fillId="0" borderId="27" xfId="0" applyNumberFormat="1" applyFont="1" applyFill="1" applyBorder="1" applyAlignment="1">
      <x:alignment horizontal="right"/>
    </x:xf>
    <x:xf numFmtId="201" fontId="27" fillId="0" borderId="27" xfId="0" applyNumberFormat="1" applyFont="1" applyFill="1" applyBorder="1" applyAlignment="1">
      <x:alignment horizontal="right"/>
    </x:xf>
    <x:xf numFmtId="208" fontId="27" fillId="0" borderId="27" xfId="0" applyNumberFormat="1" applyFont="1" applyFill="1" applyBorder="1" applyAlignment="1">
      <x:alignment horizontal="right"/>
    </x:xf>
    <x:xf numFmtId="209" fontId="27" fillId="0" borderId="27" xfId="0" applyNumberFormat="1" applyFont="1" applyFill="1" applyBorder="1" applyAlignment="1">
      <x:alignment horizontal="right"/>
    </x:xf>
    <x:xf numFmtId="204" fontId="27" fillId="0" borderId="28" xfId="0" applyNumberFormat="1" applyFont="1" applyFill="1" applyBorder="1" applyAlignment="1">
      <x:alignment horizontal="right"/>
    </x:xf>
    <x:xf numFmtId="0" fontId="28" fillId="34" borderId="0" xfId="0" applyNumberFormat="1" applyFont="1" applyFill="1" applyBorder="1" applyAlignment="1">
      <x:alignment vertical="center"/>
    </x:xf>
    <x:xf numFmtId="0" fontId="29" fillId="35" borderId="0" xfId="0" applyNumberFormat="1" applyFont="1" applyFill="1" applyBorder="1" applyAlignment="1">
      <x:alignment vertical="center"/>
    </x:xf>
    <x:xf numFmtId="0" fontId="18" fillId="36" borderId="0" xfId="0" applyNumberFormat="1" applyFont="1" applyFill="1" applyBorder="1" applyAlignment="1">
      <x:alignment horizontal="center" vertical="center" wrapText="1"/>
    </x:xf>
    <x:xf numFmtId="0" fontId="30" fillId="0" borderId="20" xfId="0" applyNumberFormat="1" applyFont="1" applyFill="1" applyBorder="1" applyAlignment="1">
      <x:alignment horizontal="left"/>
    </x:xf>
    <x:xf numFmtId="0" fontId="30" fillId="0" borderId="21" xfId="0" applyNumberFormat="1" applyFont="1" applyFill="1" applyBorder="1" applyAlignment="1">
      <x:alignment horizontal="left"/>
    </x:xf>
    <x:xf numFmtId="206" fontId="30" fillId="0" borderId="21" xfId="0" applyNumberFormat="1" applyFont="1" applyFill="1" applyBorder="1" applyAlignment="1">
      <x:alignment horizontal="right"/>
    </x:xf>
    <x:xf numFmtId="201" fontId="30" fillId="0" borderId="21" xfId="0" applyNumberFormat="1" applyFont="1" applyFill="1" applyBorder="1" applyAlignment="1">
      <x:alignment horizontal="right"/>
    </x:xf>
    <x:xf numFmtId="208" fontId="30" fillId="0" borderId="21" xfId="0" applyNumberFormat="1" applyFont="1" applyFill="1" applyBorder="1" applyAlignment="1">
      <x:alignment horizontal="right"/>
    </x:xf>
    <x:xf numFmtId="209" fontId="30" fillId="0" borderId="21" xfId="0" applyNumberFormat="1" applyFont="1" applyFill="1" applyBorder="1" applyAlignment="1">
      <x:alignment horizontal="right"/>
    </x:xf>
    <x:xf numFmtId="204" fontId="30" fillId="0" borderId="22" xfId="0" applyNumberFormat="1" applyFont="1" applyFill="1" applyBorder="1" applyAlignment="1">
      <x:alignment horizontal="right"/>
    </x:xf>
    <x:xf numFmtId="0" fontId="17" fillId="0" borderId="23" xfId="0" applyNumberFormat="1" applyFont="1" applyFill="1" applyBorder="1" applyAlignment="1">
      <x:alignment horizontal="left"/>
    </x:xf>
    <x:xf numFmtId="0" fontId="17" fillId="0" borderId="24" xfId="0" applyNumberFormat="1" applyFont="1" applyFill="1" applyBorder="1" applyAlignment="1">
      <x:alignment horizontal="left"/>
    </x:xf>
    <x:xf numFmtId="206" fontId="17" fillId="0" borderId="24" xfId="0" applyNumberFormat="1" applyFont="1" applyFill="1" applyBorder="1" applyAlignment="1">
      <x:alignment horizontal="right"/>
    </x:xf>
    <x:xf numFmtId="201" fontId="17" fillId="0" borderId="24" xfId="0" applyNumberFormat="1" applyFont="1" applyFill="1" applyBorder="1" applyAlignment="1">
      <x:alignment horizontal="right"/>
    </x:xf>
    <x:xf numFmtId="208" fontId="17" fillId="0" borderId="24" xfId="0" applyNumberFormat="1" applyFont="1" applyFill="1" applyBorder="1" applyAlignment="1">
      <x:alignment horizontal="right"/>
    </x:xf>
    <x:xf numFmtId="209" fontId="17" fillId="0" borderId="24" xfId="0" applyNumberFormat="1" applyFont="1" applyFill="1" applyBorder="1" applyAlignment="1">
      <x:alignment horizontal="right"/>
    </x:xf>
    <x:xf numFmtId="204" fontId="17" fillId="0" borderId="25" xfId="0" applyNumberFormat="1" applyFont="1" applyFill="1" applyBorder="1" applyAlignment="1">
      <x:alignment horizontal="right"/>
    </x:xf>
    <x:xf numFmtId="0" fontId="31" fillId="0" borderId="26" xfId="0" applyNumberFormat="1" applyFont="1" applyFill="1" applyBorder="1" applyAlignment="1">
      <x:alignment horizontal="left"/>
    </x:xf>
    <x:xf numFmtId="0" fontId="31" fillId="0" borderId="27" xfId="0" applyNumberFormat="1" applyFont="1" applyFill="1" applyBorder="1" applyAlignment="1">
      <x:alignment horizontal="left"/>
    </x:xf>
    <x:xf numFmtId="206" fontId="31" fillId="0" borderId="27" xfId="0" applyNumberFormat="1" applyFont="1" applyFill="1" applyBorder="1" applyAlignment="1">
      <x:alignment horizontal="right"/>
    </x:xf>
    <x:xf numFmtId="201" fontId="31" fillId="0" borderId="27" xfId="0" applyNumberFormat="1" applyFont="1" applyFill="1" applyBorder="1" applyAlignment="1">
      <x:alignment horizontal="right"/>
    </x:xf>
    <x:xf numFmtId="208" fontId="31" fillId="0" borderId="27" xfId="0" applyNumberFormat="1" applyFont="1" applyFill="1" applyBorder="1" applyAlignment="1">
      <x:alignment horizontal="right"/>
    </x:xf>
    <x:xf numFmtId="209" fontId="31" fillId="0" borderId="27" xfId="0" applyNumberFormat="1" applyFont="1" applyFill="1" applyBorder="1" applyAlignment="1">
      <x:alignment horizontal="right"/>
    </x:xf>
    <x:xf numFmtId="204" fontId="31" fillId="0" borderId="28" xfId="0" applyNumberFormat="1" applyFont="1" applyFill="1" applyBorder="1" applyAlignment="1">
      <x:alignment horizontal="right"/>
    </x:xf>
    <x:xf numFmtId="0" fontId="32" fillId="34" borderId="0" xfId="0" applyNumberFormat="1" applyFont="1" applyFill="1" applyBorder="1" applyAlignment="1">
      <x:alignment vertical="center"/>
    </x:xf>
    <x:xf numFmtId="0" fontId="17" fillId="0" borderId="20" xfId="0" applyNumberFormat="1" applyFont="1" applyFill="1" applyBorder="1"/>
    <x:xf numFmtId="200" fontId="17" fillId="0" borderId="21" xfId="0" applyNumberFormat="1" applyFont="1" applyFill="1" applyBorder="1" applyAlignment="1">
      <x:alignment horizontal="right"/>
    </x:xf>
    <x:xf numFmtId="201" fontId="17" fillId="0" borderId="21" xfId="0" applyNumberFormat="1" applyFont="1" applyFill="1" applyBorder="1" applyAlignment="1">
      <x:alignment horizontal="right"/>
    </x:xf>
    <x:xf numFmtId="0" fontId="17" fillId="0" borderId="22" xfId="0" applyNumberFormat="1" applyFont="1" applyFill="1" applyBorder="1"/>
    <x:xf numFmtId="0" fontId="17" fillId="0" borderId="23" xfId="0" applyNumberFormat="1" applyFont="1" applyFill="1" applyBorder="1"/>
    <x:xf numFmtId="200" fontId="17" fillId="0" borderId="24" xfId="0" applyNumberFormat="1" applyFont="1" applyFill="1" applyBorder="1" applyAlignment="1">
      <x:alignment horizontal="right"/>
    </x:xf>
    <x:xf numFmtId="0" fontId="17" fillId="0" borderId="25" xfId="0" applyNumberFormat="1" applyFont="1" applyFill="1" applyBorder="1"/>
    <x:xf numFmtId="0" fontId="17" fillId="0" borderId="26" xfId="0" applyNumberFormat="1" applyFont="1" applyFill="1" applyBorder="1"/>
    <x:xf numFmtId="200" fontId="17" fillId="0" borderId="27" xfId="0" applyNumberFormat="1" applyFont="1" applyFill="1" applyBorder="1" applyAlignment="1">
      <x:alignment horizontal="right"/>
    </x:xf>
    <x:xf numFmtId="201" fontId="17" fillId="0" borderId="27" xfId="0" applyNumberFormat="1" applyFont="1" applyFill="1" applyBorder="1" applyAlignment="1">
      <x:alignment horizontal="right"/>
    </x:xf>
    <x:xf numFmtId="0" fontId="17" fillId="0" borderId="28" xfId="0" applyNumberFormat="1" applyFont="1" applyFill="1" applyBorder="1"/>
    <x:xf numFmtId="0" fontId="33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4" fillId="39" borderId="0" xfId="0" applyNumberFormat="1" applyFont="1" applyFill="1" applyBorder="1"/>
    <x:xf numFmtId="0" fontId="34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9" fillId="40" borderId="0" xfId="0" applyNumberFormat="1" applyFont="1" applyFill="1" applyBorder="1"/>
    <x:xf numFmtId="0" fontId="9" fillId="40" borderId="29" xfId="0" applyNumberFormat="1" applyFont="1" applyFill="1" applyBorder="1"/>
    <x:xf numFmtId="0" fontId="9" fillId="40" borderId="30" xfId="0" applyNumberFormat="1" applyFont="1" applyFill="1" applyBorder="1"/>
    <x:xf numFmtId="0" fontId="9" fillId="40" borderId="31" xfId="0" applyNumberFormat="1" applyFont="1" applyFill="1" applyBorder="1"/>
    <x:xf numFmtId="0" fontId="9" fillId="40" borderId="29" xfId="0" applyNumberFormat="1" applyFont="1" applyFill="1" applyBorder="1" applyAlignment="1">
      <x:alignment wrapText="1"/>
    </x:xf>
    <x:xf numFmtId="0" fontId="9" fillId="40" borderId="30" xfId="0" applyNumberFormat="1" applyFont="1" applyFill="1" applyBorder="1" applyAlignment="1">
      <x:alignment wrapText="1"/>
    </x:xf>
    <x:xf numFmtId="0" fontId="9" fillId="40" borderId="31" xfId="0" applyNumberFormat="1" applyFont="1" applyFill="1" applyBorder="1" applyAlignment="1">
      <x:alignment wrapText="1"/>
    </x:xf>
    <x:xf numFmtId="0" fontId="9" fillId="40" borderId="29" xfId="0" applyNumberFormat="1" applyFont="1" applyFill="1" applyBorder="1" applyAlignment="1">
      <x:alignment horizontal="center" wrapText="1"/>
    </x:xf>
    <x:xf numFmtId="0" fontId="9" fillId="40" borderId="30" xfId="0" applyNumberFormat="1" applyFont="1" applyFill="1" applyBorder="1" applyAlignment="1">
      <x:alignment horizontal="center" wrapText="1"/>
    </x:xf>
    <x:xf numFmtId="0" fontId="9" fillId="40" borderId="31" xfId="0" applyNumberFormat="1" applyFont="1" applyFill="1" applyBorder="1" applyAlignment="1">
      <x:alignment horizontal="center" wrapText="1"/>
    </x:xf>
    <x:xf numFmtId="0" fontId="9" fillId="40" borderId="29" xfId="0" applyNumberFormat="1" applyFont="1" applyFill="1" applyBorder="1" applyAlignment="1">
      <x:alignment horizontal="center" vertical="center" wrapText="1"/>
    </x:xf>
    <x:xf numFmtId="0" fontId="9" fillId="40" borderId="30" xfId="0" applyNumberFormat="1" applyFont="1" applyFill="1" applyBorder="1" applyAlignment="1">
      <x:alignment horizontal="center" vertical="center" wrapText="1"/>
    </x:xf>
    <x:xf numFmtId="0" fontId="9" fillId="40" borderId="31" xfId="0" applyNumberFormat="1" applyFont="1" applyFill="1" applyBorder="1" applyAlignment="1">
      <x:alignment horizontal="center" vertical="center" wrapText="1"/>
    </x:xf>
    <x:xf numFmtId="0" fontId="35" fillId="38" borderId="0" xfId="0" applyNumberFormat="1" applyFont="1" applyFill="1" applyBorder="1"/>
    <x:xf numFmtId="0" fontId="35" fillId="38" borderId="0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41" borderId="35" xfId="0" applyNumberFormat="1" applyFont="1" applyFill="1" applyBorder="1"/>
    <x:xf numFmtId="0" fontId="0" fillId="41" borderId="36" xfId="0" applyNumberFormat="1" applyFont="1" applyFill="1" applyBorder="1"/>
    <x:xf numFmtId="0" fontId="0" fillId="41" borderId="37" xfId="0" applyNumberFormat="1" applyFont="1" applyFill="1" applyBorder="1"/>
    <x:xf numFmtId="0" fontId="36" fillId="41" borderId="35" xfId="0" applyNumberFormat="1" applyFont="1" applyFill="1" applyBorder="1"/>
    <x:xf numFmtId="0" fontId="36" fillId="41" borderId="36" xfId="0" applyNumberFormat="1" applyFont="1" applyFill="1" applyBorder="1"/>
    <x:xf numFmtId="0" fontId="36" fillId="41" borderId="37" xfId="0" applyNumberFormat="1" applyFont="1" applyFill="1" applyBorder="1"/>
    <x:xf numFmtId="0" fontId="0" fillId="42" borderId="35" xfId="0" applyNumberFormat="1" applyFont="1" applyFill="1" applyBorder="1"/>
    <x:xf numFmtId="0" fontId="0" fillId="42" borderId="36" xfId="0" applyNumberFormat="1" applyFont="1" applyFill="1" applyBorder="1"/>
    <x:xf numFmtId="0" fontId="0" fillId="42" borderId="37" xfId="0" applyNumberFormat="1" applyFont="1" applyFill="1" applyBorder="1"/>
    <x:xf numFmtId="0" fontId="0" fillId="43" borderId="38" xfId="0" applyNumberFormat="1" applyFont="1" applyFill="1" applyBorder="1"/>
    <x:xf numFmtId="0" fontId="0" fillId="43" borderId="39" xfId="0" applyNumberFormat="1" applyFont="1" applyFill="1" applyBorder="1"/>
    <x:xf numFmtId="0" fontId="0" fillId="43" borderId="40" xfId="0" applyNumberFormat="1" applyFont="1" applyFill="1" applyBorder="1"/>
    <x:xf numFmtId="0" fontId="0" fillId="43" borderId="32" xfId="0" applyNumberFormat="1" applyFont="1" applyFill="1" applyBorder="1"/>
    <x:xf numFmtId="0" fontId="0" fillId="43" borderId="35" xfId="0" applyNumberFormat="1" applyFont="1" applyFill="1" applyBorder="1"/>
    <x:xf numFmtId="0" fontId="37" fillId="43" borderId="32" xfId="0" applyNumberFormat="1" applyFont="1" applyFill="1" applyBorder="1"/>
    <x:xf numFmtId="0" fontId="37" fillId="43" borderId="35" xfId="0" applyNumberFormat="1" applyFont="1" applyFill="1" applyBorder="1"/>
    <x:xf numFmtId="0" fontId="37" fillId="43" borderId="38" xfId="0" applyNumberFormat="1" applyFont="1" applyFill="1" applyBorder="1"/>
    <x:xf numFmtId="0" fontId="0" fillId="43" borderId="0" xfId="0" applyNumberFormat="1" applyFont="1" applyFill="1" applyBorder="1"/>
    <x:xf numFmtId="0" fontId="38" fillId="43" borderId="0" xfId="0" applyNumberFormat="1" applyFont="1" applyFill="1" applyBorder="1"/>
    <x:xf numFmtId="0" fontId="38" fillId="43" borderId="0" xfId="0" applyNumberFormat="1" applyFont="1" applyFill="1" applyBorder="1" applyAlignment="1">
      <x:alignment wrapText="1"/>
    </x:xf>
    <x:xf numFmtId="0" fontId="38" fillId="43" borderId="0" xfId="0" applyNumberFormat="1" applyFont="1" applyFill="1" applyBorder="1" applyAlignment="1">
      <x:alignment vertical="center" wrapText="1"/>
    </x:xf>
    <x:xf numFmtId="200" fontId="0" fillId="0" borderId="33" xfId="0" applyNumberFormat="1" applyFont="1" applyFill="1" applyBorder="1"/>
    <x:xf numFmtId="200" fontId="0" fillId="0" borderId="36" xfId="0" applyNumberFormat="1" applyFont="1" applyFill="1" applyBorder="1"/>
    <x:xf numFmtId="200" fontId="36" fillId="41" borderId="36" xfId="0" applyNumberFormat="1" applyFont="1" applyFill="1" applyBorder="1"/>
    <x:xf numFmtId="200" fontId="0" fillId="42" borderId="36" xfId="0" applyNumberFormat="1" applyFont="1" applyFill="1" applyBorder="1"/>
    <x:xf numFmtId="200" fontId="0" fillId="43" borderId="39" xfId="0" applyNumberFormat="1" applyFont="1" applyFill="1" applyBorder="1"/>
    <x:xf numFmtId="201" fontId="0" fillId="0" borderId="33" xfId="0" applyNumberFormat="1" applyFont="1" applyFill="1" applyBorder="1"/>
    <x:xf numFmtId="201" fontId="0" fillId="0" borderId="36" xfId="0" applyNumberFormat="1" applyFont="1" applyFill="1" applyBorder="1"/>
    <x:xf numFmtId="201" fontId="36" fillId="41" borderId="36" xfId="0" applyNumberFormat="1" applyFont="1" applyFill="1" applyBorder="1"/>
    <x:xf numFmtId="201" fontId="0" fillId="42" borderId="36" xfId="0" applyNumberFormat="1" applyFont="1" applyFill="1" applyBorder="1"/>
    <x:xf numFmtId="201" fontId="0" fillId="43" borderId="39" xfId="0" applyNumberFormat="1" applyFont="1" applyFill="1" applyBorder="1"/>
    <x:xf numFmtId="206" fontId="0" fillId="0" borderId="33" xfId="0" applyNumberFormat="1" applyFont="1" applyFill="1" applyBorder="1"/>
    <x:xf numFmtId="206" fontId="0" fillId="0" borderId="36" xfId="0" applyNumberFormat="1" applyFont="1" applyFill="1" applyBorder="1"/>
    <x:xf numFmtId="208" fontId="0" fillId="0" borderId="36" xfId="0" applyNumberFormat="1" applyFont="1" applyFill="1" applyBorder="1"/>
    <x:xf numFmtId="206" fontId="0" fillId="0" borderId="39" xfId="0" applyNumberFormat="1" applyFont="1" applyFill="1" applyBorder="1"/>
    <x:xf numFmtId="207" fontId="0" fillId="0" borderId="34" xfId="0" applyNumberFormat="1" applyFont="1" applyFill="1" applyBorder="1"/>
    <x:xf numFmtId="207" fontId="0" fillId="0" borderId="37" xfId="0" applyNumberFormat="1" applyFont="1" applyFill="1" applyBorder="1"/>
    <x:xf numFmtId="207" fontId="0" fillId="0" borderId="40" xfId="0" applyNumberFormat="1" applyFont="1" applyFill="1" applyBorder="1"/>
    <x:xf numFmtId="200" fontId="0" fillId="0" borderId="33" xfId="0" applyNumberFormat="1" applyFont="1" applyFill="1" applyBorder="1" applyAlignment="1">
      <x:alignment horizontal="right"/>
    </x:xf>
    <x:xf numFmtId="201" fontId="0" fillId="0" borderId="33" xfId="0" applyNumberFormat="1" applyFont="1" applyFill="1" applyBorder="1" applyAlignment="1">
      <x:alignment horizontal="right"/>
    </x:xf>
    <x:xf numFmtId="200" fontId="0" fillId="0" borderId="36" xfId="0" applyNumberFormat="1" applyFont="1" applyFill="1" applyBorder="1" applyAlignment="1">
      <x:alignment horizontal="right"/>
    </x:xf>
    <x:xf numFmtId="201" fontId="0" fillId="0" borderId="36" xfId="0" applyNumberFormat="1" applyFont="1" applyFill="1" applyBorder="1" applyAlignment="1">
      <x:alignment horizontal="right"/>
    </x:xf>
    <x:xf numFmtId="200" fontId="36" fillId="41" borderId="36" xfId="0" applyNumberFormat="1" applyFont="1" applyFill="1" applyBorder="1" applyAlignment="1">
      <x:alignment horizontal="right"/>
    </x:xf>
    <x:xf numFmtId="201" fontId="36" fillId="41" borderId="36" xfId="0" applyNumberFormat="1" applyFont="1" applyFill="1" applyBorder="1" applyAlignment="1">
      <x:alignment horizontal="right"/>
    </x:xf>
    <x:xf numFmtId="200" fontId="0" fillId="42" borderId="36" xfId="0" applyNumberFormat="1" applyFont="1" applyFill="1" applyBorder="1" applyAlignment="1">
      <x:alignment horizontal="right"/>
    </x:xf>
    <x:xf numFmtId="201" fontId="0" fillId="42" borderId="36" xfId="0" applyNumberFormat="1" applyFont="1" applyFill="1" applyBorder="1" applyAlignment="1">
      <x:alignment horizontal="right"/>
    </x:xf>
    <x:xf numFmtId="200" fontId="0" fillId="43" borderId="39" xfId="0" applyNumberFormat="1" applyFont="1" applyFill="1" applyBorder="1" applyAlignment="1">
      <x:alignment horizontal="right"/>
    </x:xf>
    <x:xf numFmtId="201" fontId="0" fillId="43" borderId="39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right"/>
    </x:xf>
    <x:xf numFmtId="0" fontId="35" fillId="38" borderId="0" xfId="0" applyNumberFormat="1" applyFont="1" applyFill="1" applyBorder="1" applyAlignment="1">
      <x:alignment horizontal="right" vertical="center"/>
    </x:xf>
    <x:xf numFmtId="0" fontId="9" fillId="40" borderId="30" xfId="0" applyNumberFormat="1" applyFont="1" applyFill="1" applyBorder="1" applyAlignment="1">
      <x:alignment horizontal="right" vertical="center" wrapText="1"/>
    </x:xf>
    <x:xf numFmtId="0" fontId="9" fillId="40" borderId="31" xfId="0" applyNumberFormat="1" applyFont="1" applyFill="1" applyBorder="1" applyAlignment="1">
      <x:alignment horizontal="right" vertical="center" wrapText="1"/>
    </x:xf>
    <x:xf numFmtId="206" fontId="0" fillId="0" borderId="33" xfId="0" applyNumberFormat="1" applyFont="1" applyFill="1" applyBorder="1" applyAlignment="1">
      <x:alignment horizontal="right"/>
    </x:xf>
    <x:xf numFmtId="207" fontId="0" fillId="0" borderId="34" xfId="0" applyNumberFormat="1" applyFont="1" applyFill="1" applyBorder="1" applyAlignment="1">
      <x:alignment horizontal="right"/>
    </x:xf>
    <x:xf numFmtId="206" fontId="0" fillId="0" borderId="36" xfId="0" applyNumberFormat="1" applyFont="1" applyFill="1" applyBorder="1" applyAlignment="1">
      <x:alignment horizontal="right"/>
    </x:xf>
    <x:xf numFmtId="207" fontId="0" fillId="0" borderId="37" xfId="0" applyNumberFormat="1" applyFont="1" applyFill="1" applyBorder="1" applyAlignment="1">
      <x:alignment horizontal="right"/>
    </x:xf>
    <x:xf numFmtId="208" fontId="0" fillId="0" borderId="36" xfId="0" applyNumberFormat="1" applyFont="1" applyFill="1" applyBorder="1" applyAlignment="1">
      <x:alignment horizontal="right"/>
    </x:xf>
    <x:xf numFmtId="206" fontId="0" fillId="0" borderId="39" xfId="0" applyNumberFormat="1" applyFont="1" applyFill="1" applyBorder="1" applyAlignment="1">
      <x:alignment horizontal="right"/>
    </x:xf>
    <x:xf numFmtId="207" fontId="0" fillId="0" borderId="40" xfId="0" applyNumberFormat="1" applyFont="1" applyFill="1" applyBorder="1" applyAlignment="1">
      <x:alignment horizontal="right"/>
    </x:xf>
    <x:xf numFmtId="0" fontId="9" fillId="40" borderId="29" xfId="0" applyNumberFormat="1" applyFont="1" applyFill="1" applyBorder="1" applyAlignment="1">
      <x:alignment horizontal="left" vertical="center" wrapText="1"/>
    </x:xf>
    <x:xf numFmtId="0" fontId="0" fillId="0" borderId="32" xfId="0" applyNumberFormat="1" applyFont="1" applyFill="1" applyBorder="1" applyAlignment="1">
      <x:alignment horizontal="left"/>
    </x:xf>
    <x:xf numFmtId="0" fontId="0" fillId="0" borderId="35" xfId="0" applyNumberFormat="1" applyFont="1" applyFill="1" applyBorder="1" applyAlignment="1">
      <x:alignment horizontal="left"/>
    </x:xf>
    <x:xf numFmtId="0" fontId="36" fillId="41" borderId="35" xfId="0" applyNumberFormat="1" applyFont="1" applyFill="1" applyBorder="1" applyAlignment="1">
      <x:alignment horizontal="left"/>
    </x:xf>
    <x:xf numFmtId="0" fontId="0" fillId="42" borderId="35" xfId="0" applyNumberFormat="1" applyFont="1" applyFill="1" applyBorder="1" applyAlignment="1">
      <x:alignment horizontal="left"/>
    </x:xf>
    <x:xf numFmtId="0" fontId="0" fillId="43" borderId="38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left"/>
    </x:xf>
    <x:xf numFmtId="0" fontId="35" fillId="38" borderId="0" xfId="0" applyNumberFormat="1" applyFont="1" applyFill="1" applyBorder="1" applyAlignment="1">
      <x:alignment horizontal="left" vertical="center"/>
    </x:xf>
    <x:xf numFmtId="0" fontId="0" fillId="0" borderId="38" xfId="0" applyNumberFormat="1" applyFont="1" applyFill="1" applyBorder="1" applyAlignment="1">
      <x:alignment horizontal="left"/>
    </x:xf>
    <x:xf numFmtId="0" fontId="37" fillId="43" borderId="32" xfId="0" applyNumberFormat="1" applyFont="1" applyFill="1" applyBorder="1" applyAlignment="1">
      <x:alignment horizontal="left"/>
    </x:xf>
    <x:xf numFmtId="0" fontId="37" fillId="43" borderId="35" xfId="0" applyNumberFormat="1" applyFont="1" applyFill="1" applyBorder="1" applyAlignment="1">
      <x:alignment horizontal="left"/>
    </x:xf>
    <x:xf numFmtId="0" fontId="37" fillId="43" borderId="38" xfId="0" applyNumberFormat="1" applyFont="1" applyFill="1" applyBorder="1" applyAlignment="1">
      <x:alignment horizontal="left"/>
    </x:xf>
    <x:xf numFmtId="0" fontId="38" fillId="43" borderId="0" xfId="0" applyNumberFormat="1" applyFont="1" applyFill="1" applyBorder="1" applyAlignment="1">
      <x:alignment horizontal="left" vertical="center" wrapText="1"/>
    </x:xf>
    <x:xf numFmtId="0" fontId="39" fillId="38" borderId="0" xfId="0" applyNumberFormat="1" applyFont="1" applyFill="1" applyBorder="1" applyAlignment="1">
      <x:alignment vertical="center"/>
    </x:xf>
    <x:xf numFmtId="0" fontId="40" fillId="39" borderId="0" xfId="0" applyNumberFormat="1" applyFont="1" applyFill="1" applyBorder="1" applyAlignment="1">
      <x:alignment vertical="center"/>
    </x:xf>
    <x:xf numFmtId="0" fontId="41" fillId="0" borderId="0" xfId="0" applyNumberFormat="1" applyFont="1" applyFill="1" applyBorder="1"/>
    <x:xf numFmtId="0" fontId="42" fillId="40" borderId="29" xfId="0" applyNumberFormat="1" applyFont="1" applyFill="1" applyBorder="1" applyAlignment="1">
      <x:alignment horizontal="left" vertical="center" wrapText="1"/>
    </x:xf>
    <x:xf numFmtId="0" fontId="42" fillId="40" borderId="30" xfId="0" applyNumberFormat="1" applyFont="1" applyFill="1" applyBorder="1" applyAlignment="1">
      <x:alignment horizontal="center" vertical="center" wrapText="1"/>
    </x:xf>
    <x:xf numFmtId="0" fontId="42" fillId="40" borderId="31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 applyAlignment="1">
      <x:alignment horizontal="left"/>
    </x:xf>
    <x:xf numFmtId="200" fontId="41" fillId="0" borderId="33" xfId="0" applyNumberFormat="1" applyFont="1" applyFill="1" applyBorder="1" applyAlignment="1">
      <x:alignment horizontal="right"/>
    </x:xf>
    <x:xf numFmtId="201" fontId="41" fillId="0" borderId="33" xfId="0" applyNumberFormat="1" applyFont="1" applyFill="1" applyBorder="1" applyAlignment="1">
      <x:alignment horizontal="right"/>
    </x:xf>
    <x:xf numFmtId="0" fontId="41" fillId="0" borderId="34" xfId="0" applyNumberFormat="1" applyFont="1" applyFill="1" applyBorder="1"/>
    <x:xf numFmtId="0" fontId="41" fillId="0" borderId="35" xfId="0" applyNumberFormat="1" applyFont="1" applyFill="1" applyBorder="1" applyAlignment="1">
      <x:alignment horizontal="left"/>
    </x:xf>
    <x:xf numFmtId="200" fontId="41" fillId="0" borderId="36" xfId="0" applyNumberFormat="1" applyFont="1" applyFill="1" applyBorder="1" applyAlignment="1">
      <x:alignment horizontal="right"/>
    </x:xf>
    <x:xf numFmtId="201" fontId="41" fillId="0" borderId="36" xfId="0" applyNumberFormat="1" applyFont="1" applyFill="1" applyBorder="1" applyAlignment="1">
      <x:alignment horizontal="right"/>
    </x:xf>
    <x:xf numFmtId="0" fontId="41" fillId="0" borderId="37" xfId="0" applyNumberFormat="1" applyFont="1" applyFill="1" applyBorder="1"/>
    <x:xf numFmtId="0" fontId="43" fillId="41" borderId="35" xfId="0" applyNumberFormat="1" applyFont="1" applyFill="1" applyBorder="1" applyAlignment="1">
      <x:alignment horizontal="left"/>
    </x:xf>
    <x:xf numFmtId="200" fontId="43" fillId="41" borderId="36" xfId="0" applyNumberFormat="1" applyFont="1" applyFill="1" applyBorder="1" applyAlignment="1">
      <x:alignment horizontal="right"/>
    </x:xf>
    <x:xf numFmtId="201" fontId="43" fillId="41" borderId="36" xfId="0" applyNumberFormat="1" applyFont="1" applyFill="1" applyBorder="1" applyAlignment="1">
      <x:alignment horizontal="right"/>
    </x:xf>
    <x:xf numFmtId="0" fontId="43" fillId="41" borderId="37" xfId="0" applyNumberFormat="1" applyFont="1" applyFill="1" applyBorder="1"/>
    <x:xf numFmtId="0" fontId="41" fillId="42" borderId="35" xfId="0" applyNumberFormat="1" applyFont="1" applyFill="1" applyBorder="1" applyAlignment="1">
      <x:alignment horizontal="left"/>
    </x:xf>
    <x:xf numFmtId="200" fontId="41" fillId="42" borderId="36" xfId="0" applyNumberFormat="1" applyFont="1" applyFill="1" applyBorder="1" applyAlignment="1">
      <x:alignment horizontal="right"/>
    </x:xf>
    <x:xf numFmtId="201" fontId="41" fillId="42" borderId="36" xfId="0" applyNumberFormat="1" applyFont="1" applyFill="1" applyBorder="1" applyAlignment="1">
      <x:alignment horizontal="right"/>
    </x:xf>
    <x:xf numFmtId="0" fontId="41" fillId="42" borderId="37" xfId="0" applyNumberFormat="1" applyFont="1" applyFill="1" applyBorder="1"/>
    <x:xf numFmtId="0" fontId="41" fillId="43" borderId="38" xfId="0" applyNumberFormat="1" applyFont="1" applyFill="1" applyBorder="1" applyAlignment="1">
      <x:alignment horizontal="left"/>
    </x:xf>
    <x:xf numFmtId="200" fontId="41" fillId="43" borderId="39" xfId="0" applyNumberFormat="1" applyFont="1" applyFill="1" applyBorder="1" applyAlignment="1">
      <x:alignment horizontal="right"/>
    </x:xf>
    <x:xf numFmtId="201" fontId="41" fillId="43" borderId="39" xfId="0" applyNumberFormat="1" applyFont="1" applyFill="1" applyBorder="1" applyAlignment="1">
      <x:alignment horizontal="right"/>
    </x:xf>
    <x:xf numFmtId="0" fontId="41" fillId="43" borderId="40" xfId="0" applyNumberFormat="1" applyFont="1" applyFill="1" applyBorder="1"/>
    <x:xf numFmtId="0" fontId="41" fillId="0" borderId="0" xfId="0" applyNumberFormat="1" applyFont="1" applyFill="1" applyBorder="1" applyAlignment="1">
      <x:alignment horizontal="left"/>
    </x:xf>
    <x:xf numFmtId="0" fontId="41" fillId="0" borderId="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horizontal="left" vertical="center"/>
    </x:xf>
    <x:xf numFmtId="0" fontId="44" fillId="38" borderId="0" xfId="0" applyNumberFormat="1" applyFont="1" applyFill="1" applyBorder="1" applyAlignment="1">
      <x:alignment horizontal="right" vertical="center"/>
    </x:xf>
    <x:xf numFmtId="0" fontId="42" fillId="40" borderId="30" xfId="0" applyNumberFormat="1" applyFont="1" applyFill="1" applyBorder="1" applyAlignment="1">
      <x:alignment horizontal="right" vertical="center" wrapText="1"/>
    </x:xf>
    <x:xf numFmtId="0" fontId="42" fillId="40" borderId="31" xfId="0" applyNumberFormat="1" applyFont="1" applyFill="1" applyBorder="1" applyAlignment="1">
      <x:alignment horizontal="right" vertical="center" wrapText="1"/>
    </x:xf>
    <x:xf numFmtId="206" fontId="41" fillId="0" borderId="33" xfId="0" applyNumberFormat="1" applyFont="1" applyFill="1" applyBorder="1" applyAlignment="1">
      <x:alignment horizontal="right"/>
    </x:xf>
    <x:xf numFmtId="207" fontId="41" fillId="0" borderId="34" xfId="0" applyNumberFormat="1" applyFont="1" applyFill="1" applyBorder="1" applyAlignment="1">
      <x:alignment horizontal="right"/>
    </x:xf>
    <x:xf numFmtId="206" fontId="41" fillId="0" borderId="36" xfId="0" applyNumberFormat="1" applyFont="1" applyFill="1" applyBorder="1" applyAlignment="1">
      <x:alignment horizontal="right"/>
    </x:xf>
    <x:xf numFmtId="207" fontId="41" fillId="0" borderId="37" xfId="0" applyNumberFormat="1" applyFont="1" applyFill="1" applyBorder="1" applyAlignment="1">
      <x:alignment horizontal="right"/>
    </x:xf>
    <x:xf numFmtId="208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 applyAlignment="1">
      <x:alignment horizontal="left"/>
    </x:xf>
    <x:xf numFmtId="206" fontId="41" fillId="0" borderId="39" xfId="0" applyNumberFormat="1" applyFont="1" applyFill="1" applyBorder="1" applyAlignment="1">
      <x:alignment horizontal="right"/>
    </x:xf>
    <x:xf numFmtId="207" fontId="41" fillId="0" borderId="4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vertical="center"/>
    </x:xf>
    <x:xf numFmtId="0" fontId="45" fillId="43" borderId="32" xfId="0" applyNumberFormat="1" applyFont="1" applyFill="1" applyBorder="1" applyAlignment="1">
      <x:alignment horizontal="left"/>
    </x:xf>
    <x:xf numFmtId="0" fontId="45" fillId="43" borderId="35" xfId="0" applyNumberFormat="1" applyFont="1" applyFill="1" applyBorder="1" applyAlignment="1">
      <x:alignment horizontal="left"/>
    </x:xf>
    <x:xf numFmtId="0" fontId="45" fillId="43" borderId="38" xfId="0" applyNumberFormat="1" applyFont="1" applyFill="1" applyBorder="1" applyAlignment="1">
      <x:alignment horizontal="left"/>
    </x:xf>
    <x:xf numFmtId="0" fontId="41" fillId="0" borderId="40" xfId="0" applyNumberFormat="1" applyFont="1" applyFill="1" applyBorder="1"/>
    <x:xf numFmtId="0" fontId="46" fillId="43" borderId="0" xfId="0" applyNumberFormat="1" applyFont="1" applyFill="1" applyBorder="1" applyAlignment="1">
      <x:alignment horizontal="left" vertical="center" wrapText="1"/>
    </x:xf>
    <x:xf numFmtId="0" fontId="46" fillId="43" borderId="0" xfId="0" applyNumberFormat="1" applyFont="1" applyFill="1" applyBorder="1" applyAlignment="1">
      <x:alignment vertical="center" wrapText="1"/>
    </x:xf>
    <x:xf numFmtId="0" fontId="47" fillId="38" borderId="0" xfId="0" applyNumberFormat="1" applyFont="1" applyFill="1" applyBorder="1" applyAlignment="1">
      <x:alignment vertical="center"/>
    </x:xf>
    <x:xf numFmtId="0" fontId="48" fillId="0" borderId="0" xfId="0" applyNumberFormat="1" applyFont="1" applyFill="1" applyBorder="1"/>
    <x:xf numFmtId="0" fontId="47" fillId="40" borderId="29" xfId="0" applyNumberFormat="1" applyFont="1" applyFill="1" applyBorder="1" applyAlignment="1">
      <x:alignment horizontal="left" vertical="center" wrapText="1"/>
    </x:xf>
    <x:xf numFmtId="0" fontId="47" fillId="40" borderId="30" xfId="0" applyNumberFormat="1" applyFont="1" applyFill="1" applyBorder="1" applyAlignment="1">
      <x:alignment horizontal="center" vertical="center" wrapText="1"/>
    </x:xf>
    <x:xf numFmtId="0" fontId="47" fillId="40" borderId="31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 applyAlignment="1">
      <x:alignment horizontal="left"/>
    </x:xf>
    <x:xf numFmtId="200" fontId="48" fillId="0" borderId="33" xfId="0" applyNumberFormat="1" applyFont="1" applyFill="1" applyBorder="1" applyAlignment="1">
      <x:alignment horizontal="right"/>
    </x:xf>
    <x:xf numFmtId="201" fontId="48" fillId="0" borderId="33" xfId="0" applyNumberFormat="1" applyFont="1" applyFill="1" applyBorder="1" applyAlignment="1">
      <x:alignment horizontal="right"/>
    </x:xf>
    <x:xf numFmtId="0" fontId="48" fillId="0" borderId="34" xfId="0" applyNumberFormat="1" applyFont="1" applyFill="1" applyBorder="1"/>
    <x:xf numFmtId="0" fontId="48" fillId="0" borderId="35" xfId="0" applyNumberFormat="1" applyFont="1" applyFill="1" applyBorder="1" applyAlignment="1">
      <x:alignment horizontal="left"/>
    </x:xf>
    <x:xf numFmtId="200" fontId="48" fillId="0" borderId="36" xfId="0" applyNumberFormat="1" applyFont="1" applyFill="1" applyBorder="1" applyAlignment="1">
      <x:alignment horizontal="right"/>
    </x:xf>
    <x:xf numFmtId="201" fontId="48" fillId="0" borderId="36" xfId="0" applyNumberFormat="1" applyFont="1" applyFill="1" applyBorder="1" applyAlignment="1">
      <x:alignment horizontal="right"/>
    </x:xf>
    <x:xf numFmtId="0" fontId="48" fillId="0" borderId="37" xfId="0" applyNumberFormat="1" applyFont="1" applyFill="1" applyBorder="1"/>
    <x:xf numFmtId="0" fontId="49" fillId="41" borderId="35" xfId="0" applyNumberFormat="1" applyFont="1" applyFill="1" applyBorder="1" applyAlignment="1">
      <x:alignment horizontal="left"/>
    </x:xf>
    <x:xf numFmtId="200" fontId="49" fillId="41" borderId="36" xfId="0" applyNumberFormat="1" applyFont="1" applyFill="1" applyBorder="1" applyAlignment="1">
      <x:alignment horizontal="right"/>
    </x:xf>
    <x:xf numFmtId="201" fontId="49" fillId="41" borderId="36" xfId="0" applyNumberFormat="1" applyFont="1" applyFill="1" applyBorder="1" applyAlignment="1">
      <x:alignment horizontal="right"/>
    </x:xf>
    <x:xf numFmtId="0" fontId="49" fillId="41" borderId="37" xfId="0" applyNumberFormat="1" applyFont="1" applyFill="1" applyBorder="1"/>
    <x:xf numFmtId="0" fontId="48" fillId="42" borderId="35" xfId="0" applyNumberFormat="1" applyFont="1" applyFill="1" applyBorder="1" applyAlignment="1">
      <x:alignment horizontal="left"/>
    </x:xf>
    <x:xf numFmtId="200" fontId="48" fillId="42" borderId="36" xfId="0" applyNumberFormat="1" applyFont="1" applyFill="1" applyBorder="1" applyAlignment="1">
      <x:alignment horizontal="right"/>
    </x:xf>
    <x:xf numFmtId="201" fontId="48" fillId="42" borderId="36" xfId="0" applyNumberFormat="1" applyFont="1" applyFill="1" applyBorder="1" applyAlignment="1">
      <x:alignment horizontal="right"/>
    </x:xf>
    <x:xf numFmtId="0" fontId="48" fillId="42" borderId="37" xfId="0" applyNumberFormat="1" applyFont="1" applyFill="1" applyBorder="1"/>
    <x:xf numFmtId="0" fontId="48" fillId="43" borderId="38" xfId="0" applyNumberFormat="1" applyFont="1" applyFill="1" applyBorder="1" applyAlignment="1">
      <x:alignment horizontal="left"/>
    </x:xf>
    <x:xf numFmtId="200" fontId="48" fillId="43" borderId="39" xfId="0" applyNumberFormat="1" applyFont="1" applyFill="1" applyBorder="1" applyAlignment="1">
      <x:alignment horizontal="right"/>
    </x:xf>
    <x:xf numFmtId="201" fontId="48" fillId="43" borderId="39" xfId="0" applyNumberFormat="1" applyFont="1" applyFill="1" applyBorder="1" applyAlignment="1">
      <x:alignment horizontal="right"/>
    </x:xf>
    <x:xf numFmtId="0" fontId="48" fillId="43" borderId="40" xfId="0" applyNumberFormat="1" applyFont="1" applyFill="1" applyBorder="1"/>
    <x:xf numFmtId="0" fontId="48" fillId="0" borderId="0" xfId="0" applyNumberFormat="1" applyFont="1" applyFill="1" applyBorder="1" applyAlignment="1">
      <x:alignment horizontal="left"/>
    </x:xf>
    <x:xf numFmtId="0" fontId="48" fillId="0" borderId="0" xfId="0" applyNumberFormat="1" applyFont="1" applyFill="1" applyBorder="1" applyAlignment="1">
      <x:alignment horizontal="right"/>
    </x:xf>
    <x:xf numFmtId="0" fontId="47" fillId="38" borderId="0" xfId="0" applyNumberFormat="1" applyFont="1" applyFill="1" applyBorder="1" applyAlignment="1">
      <x:alignment horizontal="left" vertical="center"/>
    </x:xf>
    <x:xf numFmtId="0" fontId="47" fillId="38" borderId="0" xfId="0" applyNumberFormat="1" applyFont="1" applyFill="1" applyBorder="1" applyAlignment="1">
      <x:alignment horizontal="right" vertical="center"/>
    </x:xf>
    <x:xf numFmtId="0" fontId="47" fillId="40" borderId="30" xfId="0" applyNumberFormat="1" applyFont="1" applyFill="1" applyBorder="1" applyAlignment="1">
      <x:alignment horizontal="right" vertical="center" wrapText="1"/>
    </x:xf>
    <x:xf numFmtId="0" fontId="47" fillId="40" borderId="31" xfId="0" applyNumberFormat="1" applyFont="1" applyFill="1" applyBorder="1" applyAlignment="1">
      <x:alignment horizontal="right" vertical="center" wrapText="1"/>
    </x:xf>
    <x:xf numFmtId="206" fontId="48" fillId="0" borderId="33" xfId="0" applyNumberFormat="1" applyFont="1" applyFill="1" applyBorder="1" applyAlignment="1">
      <x:alignment horizontal="right"/>
    </x:xf>
    <x:xf numFmtId="207" fontId="48" fillId="0" borderId="34" xfId="0" applyNumberFormat="1" applyFont="1" applyFill="1" applyBorder="1" applyAlignment="1">
      <x:alignment horizontal="right"/>
    </x:xf>
    <x:xf numFmtId="206" fontId="48" fillId="0" borderId="36" xfId="0" applyNumberFormat="1" applyFont="1" applyFill="1" applyBorder="1" applyAlignment="1">
      <x:alignment horizontal="right"/>
    </x:xf>
    <x:xf numFmtId="207" fontId="48" fillId="0" borderId="37" xfId="0" applyNumberFormat="1" applyFont="1" applyFill="1" applyBorder="1" applyAlignment="1">
      <x:alignment horizontal="right"/>
    </x:xf>
    <x:xf numFmtId="208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 applyAlignment="1">
      <x:alignment horizontal="left"/>
    </x:xf>
    <x:xf numFmtId="206" fontId="48" fillId="0" borderId="39" xfId="0" applyNumberFormat="1" applyFont="1" applyFill="1" applyBorder="1" applyAlignment="1">
      <x:alignment horizontal="right"/>
    </x:xf>
    <x:xf numFmtId="207" fontId="48" fillId="0" borderId="40" xfId="0" applyNumberFormat="1" applyFont="1" applyFill="1" applyBorder="1" applyAlignment="1">
      <x:alignment horizontal="right"/>
    </x:xf>
    <x:xf numFmtId="0" fontId="50" fillId="43" borderId="32" xfId="0" applyNumberFormat="1" applyFont="1" applyFill="1" applyBorder="1" applyAlignment="1">
      <x:alignment horizontal="left"/>
    </x:xf>
    <x:xf numFmtId="0" fontId="50" fillId="43" borderId="35" xfId="0" applyNumberFormat="1" applyFont="1" applyFill="1" applyBorder="1" applyAlignment="1">
      <x:alignment horizontal="left"/>
    </x:xf>
    <x:xf numFmtId="0" fontId="50" fillId="43" borderId="38" xfId="0" applyNumberFormat="1" applyFont="1" applyFill="1" applyBorder="1" applyAlignment="1">
      <x:alignment horizontal="left"/>
    </x:xf>
    <x:xf numFmtId="0" fontId="48" fillId="0" borderId="40" xfId="0" applyNumberFormat="1" applyFont="1" applyFill="1" applyBorder="1"/>
    <x:xf numFmtId="0" fontId="51" fillId="43" borderId="0" xfId="0" applyNumberFormat="1" applyFont="1" applyFill="1" applyBorder="1" applyAlignment="1">
      <x:alignment horizontal="left" vertical="center" wrapText="1"/>
    </x:xf>
    <x:xf numFmtId="0" fontId="51" fillId="43" borderId="0" xfId="0" applyNumberFormat="1" applyFont="1" applyFill="1" applyBorder="1" applyAlignment="1">
      <x:alignment vertical="center" wrapText="1"/>
    </x:xf>
    <x:xf numFmtId="0" fontId="39" fillId="44" borderId="0" xfId="0" applyNumberFormat="1" applyFont="1" applyFill="1" applyBorder="1" applyAlignment="1">
      <x:alignment vertical="center"/>
    </x:xf>
    <x:xf numFmtId="0" fontId="40" fillId="45" borderId="0" xfId="0" applyNumberFormat="1" applyFont="1" applyFill="1" applyBorder="1" applyAlignment="1">
      <x:alignment vertical="center"/>
    </x:xf>
    <x:xf numFmtId="0" fontId="47" fillId="46" borderId="29" xfId="0" applyNumberFormat="1" applyFont="1" applyFill="1" applyBorder="1" applyAlignment="1">
      <x:alignment horizontal="left" vertical="center" wrapText="1"/>
    </x:xf>
    <x:xf numFmtId="0" fontId="47" fillId="46" borderId="30" xfId="0" applyNumberFormat="1" applyFont="1" applyFill="1" applyBorder="1" applyAlignment="1">
      <x:alignment horizontal="center" vertical="center" wrapText="1"/>
    </x:xf>
    <x:xf numFmtId="0" fontId="47" fillId="46" borderId="31" xfId="0" applyNumberFormat="1" applyFont="1" applyFill="1" applyBorder="1" applyAlignment="1">
      <x:alignment horizontal="center" vertical="center" wrapText="1"/>
    </x:xf>
    <x:xf numFmtId="0" fontId="47" fillId="46" borderId="29" xfId="0" applyNumberFormat="1" applyFont="1" applyFill="1" applyBorder="1" applyAlignment="1">
      <x:alignment horizontal="center" vertical="center" wrapText="1"/>
    </x:xf>
    <x:xf numFmtId="0" fontId="47" fillId="46" borderId="30" xfId="0" applyNumberFormat="1" applyFont="1" applyFill="1" applyBorder="1" applyAlignment="1">
      <x:alignment horizontal="right" vertical="center" wrapText="1"/>
    </x:xf>
    <x:xf numFmtId="0" fontId="47" fillId="46" borderId="31" xfId="0" applyNumberFormat="1" applyFont="1" applyFill="1" applyBorder="1" applyAlignment="1">
      <x:alignment horizontal="right" vertical="center" wrapText="1"/>
    </x:xf>
    <x:xf numFmtId="0" fontId="44" fillId="44" borderId="0" xfId="0" applyNumberFormat="1" applyFont="1" applyFill="1" applyBorder="1" applyAlignment="1">
      <x:alignment horizontal="left" vertical="center"/>
    </x:xf>
    <x:xf numFmtId="0" fontId="44" fillId="44" borderId="0" xfId="0" applyNumberFormat="1" applyFont="1" applyFill="1" applyBorder="1" applyAlignment="1">
      <x:alignment horizontal="right" vertical="center"/>
    </x:xf>
    <x:xf numFmtId="0" fontId="44" fillId="44" borderId="0" xfId="0" applyNumberFormat="1" applyFont="1" applyFill="1" applyBorder="1" applyAlignment="1">
      <x:alignment vertical="center"/>
    </x:xf>
    <x:xf numFmtId="0" fontId="48" fillId="0" borderId="33" xfId="0" applyNumberFormat="1" applyFont="1" applyFill="1" applyBorder="1"/>
    <x:xf numFmtId="0" fontId="48" fillId="0" borderId="36" xfId="0" applyNumberFormat="1" applyFont="1" applyFill="1" applyBorder="1"/>
    <x:xf numFmtId="0" fontId="49" fillId="41" borderId="36" xfId="0" applyNumberFormat="1" applyFont="1" applyFill="1" applyBorder="1"/>
    <x:xf numFmtId="0" fontId="48" fillId="42" borderId="36" xfId="0" applyNumberFormat="1" applyFont="1" applyFill="1" applyBorder="1"/>
    <x:xf numFmtId="0" fontId="48" fillId="43" borderId="35" xfId="0" applyNumberFormat="1" applyFont="1" applyFill="1" applyBorder="1" applyAlignment="1">
      <x:alignment horizontal="left"/>
    </x:xf>
    <x:xf numFmtId="200" fontId="48" fillId="43" borderId="36" xfId="0" applyNumberFormat="1" applyFont="1" applyFill="1" applyBorder="1" applyAlignment="1">
      <x:alignment horizontal="right"/>
    </x:xf>
    <x:xf numFmtId="201" fontId="48" fillId="43" borderId="36" xfId="0" applyNumberFormat="1" applyFont="1" applyFill="1" applyBorder="1" applyAlignment="1">
      <x:alignment horizontal="right"/>
    </x:xf>
    <x:xf numFmtId="0" fontId="48" fillId="43" borderId="36" xfId="0" applyNumberFormat="1" applyFont="1" applyFill="1" applyBorder="1"/>
    <x:xf numFmtId="207" fontId="48" fillId="0" borderId="33" xfId="0" applyNumberFormat="1" applyFont="1" applyFill="1" applyBorder="1" applyAlignment="1">
      <x:alignment horizontal="right"/>
    </x:xf>
    <x:xf numFmtId="207" fontId="48" fillId="0" borderId="36" xfId="0" applyNumberFormat="1" applyFont="1" applyFill="1" applyBorder="1" applyAlignment="1">
      <x:alignment horizontal="right"/>
    </x:xf>
    <x:xf numFmtId="0" fontId="49" fillId="47" borderId="35" xfId="0" applyNumberFormat="1" applyFont="1" applyFill="1" applyBorder="1" applyAlignment="1">
      <x:alignment horizontal="left"/>
    </x:xf>
    <x:xf numFmtId="200" fontId="49" fillId="47" borderId="36" xfId="0" applyNumberFormat="1" applyFont="1" applyFill="1" applyBorder="1" applyAlignment="1">
      <x:alignment horizontal="right"/>
    </x:xf>
    <x:xf numFmtId="201" fontId="49" fillId="47" borderId="36" xfId="0" applyNumberFormat="1" applyFont="1" applyFill="1" applyBorder="1" applyAlignment="1">
      <x:alignment horizontal="right"/>
    </x:xf>
    <x:xf numFmtId="0" fontId="49" fillId="47" borderId="36" xfId="0" applyNumberFormat="1" applyFont="1" applyFill="1" applyBorder="1"/>
    <x:xf numFmtId="0" fontId="48" fillId="48" borderId="35" xfId="0" applyNumberFormat="1" applyFont="1" applyFill="1" applyBorder="1" applyAlignment="1">
      <x:alignment horizontal="left"/>
    </x:xf>
    <x:xf numFmtId="200" fontId="48" fillId="48" borderId="36" xfId="0" applyNumberFormat="1" applyFont="1" applyFill="1" applyBorder="1" applyAlignment="1">
      <x:alignment horizontal="right"/>
    </x:xf>
    <x:xf numFmtId="201" fontId="48" fillId="48" borderId="36" xfId="0" applyNumberFormat="1" applyFont="1" applyFill="1" applyBorder="1" applyAlignment="1">
      <x:alignment horizontal="right"/>
    </x:xf>
    <x:xf numFmtId="0" fontId="48" fillId="48" borderId="36" xfId="0" applyNumberFormat="1" applyFont="1" applyFill="1" applyBorder="1"/>
    <x:xf numFmtId="0" fontId="48" fillId="49" borderId="35" xfId="0" applyNumberFormat="1" applyFont="1" applyFill="1" applyBorder="1" applyAlignment="1">
      <x:alignment horizontal="left"/>
    </x:xf>
    <x:xf numFmtId="200" fontId="48" fillId="49" borderId="36" xfId="0" applyNumberFormat="1" applyFont="1" applyFill="1" applyBorder="1" applyAlignment="1">
      <x:alignment horizontal="right"/>
    </x:xf>
    <x:xf numFmtId="201" fontId="48" fillId="49" borderId="36" xfId="0" applyNumberFormat="1" applyFont="1" applyFill="1" applyBorder="1" applyAlignment="1">
      <x:alignment horizontal="right"/>
    </x:xf>
    <x:xf numFmtId="0" fontId="48" fillId="49" borderId="36" xfId="0" applyNumberFormat="1" applyFont="1" applyFill="1" applyBorder="1"/>
    <x:xf numFmtId="0" fontId="50" fillId="49" borderId="32" xfId="0" applyNumberFormat="1" applyFont="1" applyFill="1" applyBorder="1" applyAlignment="1">
      <x:alignment horizontal="left"/>
    </x:xf>
    <x:xf numFmtId="0" fontId="50" fillId="49" borderId="35" xfId="0" applyNumberFormat="1" applyFont="1" applyFill="1" applyBorder="1" applyAlignment="1">
      <x:alignment horizontal="left"/>
    </x:xf>
    <x:xf numFmtId="0" fontId="51" fillId="49" borderId="0" xfId="0" applyNumberFormat="1" applyFont="1" applyFill="1" applyBorder="1" applyAlignment="1">
      <x:alignment horizontal="left" vertical="center" wrapText="1"/>
    </x:xf>
    <x:xf numFmtId="0" fontId="51" fillId="49" borderId="0" xfId="0" applyNumberFormat="1" applyFont="1" applyFill="1" applyBorder="1" applyAlignment="1">
      <x:alignment vertical="center" wrapText="1"/>
    </x:xf>
    <x:xf numFmtId="0" fontId="47" fillId="44" borderId="0" xfId="0" applyNumberFormat="1" applyFont="1" applyFill="1" applyBorder="1" applyAlignment="1">
      <x:alignment vertical="center"/>
    </x:xf>
    <x:xf numFmtId="0" fontId="47" fillId="44" borderId="0" xfId="0" applyNumberFormat="1" applyFont="1" applyFill="1" applyBorder="1" applyAlignment="1">
      <x:alignment horizontal="left" vertical="center"/>
    </x:xf>
    <x:xf numFmtId="0" fontId="47" fillId="44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" fillId="44" borderId="0" xfId="0" applyNumberFormat="1" applyFont="1" applyFill="1" applyBorder="1"/>
    <x:xf numFmtId="0" fontId="1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4" fillId="45" borderId="0" xfId="0" applyNumberFormat="1" applyFont="1" applyFill="1" applyBorder="1"/>
    <x:xf numFmtId="0" fontId="34" fillId="45" borderId="0" xfId="0" applyNumberFormat="1" applyFont="1" applyFill="1" applyBorder="1" applyAlignment="1">
      <x:alignment vertical="center"/>
    </x:xf>
    <x:xf numFmtId="0" fontId="0" fillId="46" borderId="0" xfId="0" applyNumberFormat="1" applyFont="1" applyFill="1" applyBorder="1"/>
    <x:xf numFmtId="0" fontId="9" fillId="46" borderId="0" xfId="0" applyNumberFormat="1" applyFont="1" applyFill="1" applyBorder="1"/>
    <x:xf numFmtId="0" fontId="9" fillId="46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horizontal="center" wrapText="1"/>
    </x:xf>
    <x:xf numFmtId="0" fontId="9" fillId="46" borderId="0" xfId="0" applyNumberFormat="1" applyFont="1" applyFill="1" applyBorder="1" applyAlignment="1">
      <x:alignment horizontal="center" vertical="center" wrapText="1"/>
    </x:xf>
    <x:xf numFmtId="0" fontId="35" fillId="44" borderId="0" xfId="0" applyNumberFormat="1" applyFont="1" applyFill="1" applyBorder="1"/>
    <x:xf numFmtId="0" fontId="35" fillId="44" borderId="0" xfId="0" applyNumberFormat="1" applyFont="1" applyFill="1" applyBorder="1" applyAlignment="1">
      <x:alignment vertical="center"/>
    </x:xf>
    <x:xf numFmtId="0" fontId="0" fillId="49" borderId="32" xfId="0" applyNumberFormat="1" applyFont="1" applyFill="1" applyBorder="1"/>
    <x:xf numFmtId="0" fontId="0" fillId="49" borderId="35" xfId="0" applyNumberFormat="1" applyFont="1" applyFill="1" applyBorder="1"/>
    <x:xf numFmtId="0" fontId="0" fillId="49" borderId="38" xfId="0" applyNumberFormat="1" applyFont="1" applyFill="1" applyBorder="1"/>
    <x:xf numFmtId="0" fontId="37" fillId="49" borderId="32" xfId="0" applyNumberFormat="1" applyFont="1" applyFill="1" applyBorder="1"/>
    <x:xf numFmtId="0" fontId="37" fillId="49" borderId="35" xfId="0" applyNumberFormat="1" applyFont="1" applyFill="1" applyBorder="1"/>
    <x:xf numFmtId="0" fontId="37" fillId="49" borderId="38" xfId="0" applyNumberFormat="1" applyFont="1" applyFill="1" applyBorder="1"/>
    <x:xf numFmtId="0" fontId="0" fillId="49" borderId="0" xfId="0" applyNumberFormat="1" applyFont="1" applyFill="1" applyBorder="1"/>
    <x:xf numFmtId="0" fontId="38" fillId="49" borderId="0" xfId="0" applyNumberFormat="1" applyFont="1" applyFill="1" applyBorder="1"/>
    <x:xf numFmtId="0" fontId="38" fillId="49" borderId="0" xfId="0" applyNumberFormat="1" applyFont="1" applyFill="1" applyBorder="1" applyAlignment="1">
      <x:alignment wrapText="1"/>
    </x:xf>
    <x:xf numFmtId="0" fontId="38" fillId="49" borderId="0" xfId="0" applyNumberFormat="1" applyFont="1" applyFill="1" applyBorder="1" applyAlignment="1">
      <x:alignment vertical="center" wrapText="1"/>
    </x:xf>
    <x:xf numFmtId="201" fontId="0" fillId="0" borderId="39" xfId="0" applyNumberFormat="1" applyFont="1" applyFill="1" applyBorder="1"/>
    <x:xf numFmtId="201" fontId="0" fillId="0" borderId="40" xfId="0" applyNumberFormat="1" applyFont="1" applyFill="1" applyBorder="1"/>
    <x:xf numFmtId="0" fontId="0" fillId="0" borderId="33" xfId="0" applyNumberFormat="1" applyFont="1" applyFill="1" applyBorder="1" applyAlignment="1">
      <x:alignment horizontal="right"/>
    </x:xf>
    <x:xf numFmtId="0" fontId="0" fillId="0" borderId="36" xfId="0" applyNumberFormat="1" applyFont="1" applyFill="1" applyBorder="1" applyAlignment="1">
      <x:alignment horizontal="right"/>
    </x:xf>
    <x:xf numFmtId="201" fontId="0" fillId="0" borderId="39" xfId="0" applyNumberFormat="1" applyFont="1" applyFill="1" applyBorder="1" applyAlignment="1">
      <x:alignment horizontal="right"/>
    </x:xf>
    <x:xf numFmtId="0" fontId="0" fillId="0" borderId="39" xfId="0" applyNumberFormat="1" applyFont="1" applyFill="1" applyBorder="1" applyAlignment="1">
      <x:alignment horizontal="right"/>
    </x:xf>
    <x:xf numFmtId="0" fontId="42" fillId="46" borderId="0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/>
    <x:xf numFmtId="0" fontId="41" fillId="0" borderId="33" xfId="0" applyNumberFormat="1" applyFont="1" applyFill="1" applyBorder="1" applyAlignment="1">
      <x:alignment horizontal="right"/>
    </x:xf>
    <x:xf numFmtId="0" fontId="41" fillId="0" borderId="35" xfId="0" applyNumberFormat="1" applyFont="1" applyFill="1" applyBorder="1"/>
    <x:xf numFmtId="0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/>
    <x:xf numFmtId="201" fontId="41" fillId="0" borderId="39" xfId="0" applyNumberFormat="1" applyFont="1" applyFill="1" applyBorder="1" applyAlignment="1">
      <x:alignment horizontal="right"/>
    </x:xf>
    <x:xf numFmtId="0" fontId="41" fillId="0" borderId="39" xfId="0" applyNumberFormat="1" applyFont="1" applyFill="1" applyBorder="1" applyAlignment="1">
      <x:alignment horizontal="right"/>
    </x:xf>
    <x:xf numFmtId="0" fontId="45" fillId="49" borderId="32" xfId="0" applyNumberFormat="1" applyFont="1" applyFill="1" applyBorder="1"/>
    <x:xf numFmtId="0" fontId="45" fillId="49" borderId="35" xfId="0" applyNumberFormat="1" applyFont="1" applyFill="1" applyBorder="1"/>
    <x:xf numFmtId="0" fontId="45" fillId="49" borderId="38" xfId="0" applyNumberFormat="1" applyFont="1" applyFill="1" applyBorder="1"/>
    <x:xf numFmtId="201" fontId="41" fillId="0" borderId="40" xfId="0" applyNumberFormat="1" applyFont="1" applyFill="1" applyBorder="1"/>
    <x:xf numFmtId="0" fontId="46" fillId="49" borderId="0" xfId="0" applyNumberFormat="1" applyFont="1" applyFill="1" applyBorder="1" applyAlignment="1">
      <x:alignment vertical="center" wrapText="1"/>
    </x:xf>
    <x:xf numFmtId="0" fontId="47" fillId="46" borderId="0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/>
    <x:xf numFmtId="0" fontId="48" fillId="0" borderId="33" xfId="0" applyNumberFormat="1" applyFont="1" applyFill="1" applyBorder="1" applyAlignment="1">
      <x:alignment horizontal="right"/>
    </x:xf>
    <x:xf numFmtId="0" fontId="48" fillId="0" borderId="35" xfId="0" applyNumberFormat="1" applyFont="1" applyFill="1" applyBorder="1"/>
    <x:xf numFmtId="0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/>
    <x:xf numFmtId="201" fontId="48" fillId="0" borderId="39" xfId="0" applyNumberFormat="1" applyFont="1" applyFill="1" applyBorder="1" applyAlignment="1">
      <x:alignment horizontal="right"/>
    </x:xf>
    <x:xf numFmtId="0" fontId="48" fillId="0" borderId="39" xfId="0" applyNumberFormat="1" applyFont="1" applyFill="1" applyBorder="1" applyAlignment="1">
      <x:alignment horizontal="right"/>
    </x:xf>
    <x:xf numFmtId="0" fontId="50" fillId="49" borderId="32" xfId="0" applyNumberFormat="1" applyFont="1" applyFill="1" applyBorder="1"/>
    <x:xf numFmtId="0" fontId="50" fillId="49" borderId="35" xfId="0" applyNumberFormat="1" applyFont="1" applyFill="1" applyBorder="1"/>
    <x:xf numFmtId="0" fontId="50" fillId="49" borderId="38" xfId="0" applyNumberFormat="1" applyFont="1" applyFill="1" applyBorder="1"/>
    <x:xf numFmtId="201" fontId="48" fillId="0" borderId="40" xfId="0" applyNumberFormat="1" applyFont="1" applyFill="1" applyBorder="1"/>
    <x:xf numFmtId="0" fontId="0" fillId="50" borderId="0" xfId="0" applyNumberFormat="1" applyFont="1" applyFill="1" applyBorder="1"/>
    <x:xf numFmtId="0" fontId="7" fillId="50" borderId="0" xfId="0" applyNumberFormat="1" applyFont="1" applyFill="1" applyBorder="1"/>
    <x:xf numFmtId="0" fontId="7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52" fillId="51" borderId="0" xfId="0" applyNumberFormat="1" applyFont="1" applyFill="1" applyBorder="1"/>
    <x:xf numFmtId="0" fontId="52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9" fillId="52" borderId="0" xfId="0" applyNumberFormat="1" applyFont="1" applyFill="1" applyBorder="1"/>
    <x:xf numFmtId="0" fontId="9" fillId="52" borderId="0" xfId="0" applyNumberFormat="1" applyFont="1" applyFill="1" applyBorder="1" applyAlignment="1">
      <x:alignment wrapText="1"/>
    </x:xf>
    <x:xf numFmtId="0" fontId="9" fillId="52" borderId="0" xfId="0" applyNumberFormat="1" applyFont="1" applyFill="1" applyBorder="1" applyAlignment="1">
      <x:alignment horizontal="center" wrapText="1"/>
    </x:xf>
    <x:xf numFmtId="0" fontId="9" fillId="52" borderId="0" xfId="0" applyNumberFormat="1" applyFont="1" applyFill="1" applyBorder="1" applyAlignment="1">
      <x:alignment horizontal="center" vertical="center" wrapText="1"/>
    </x:xf>
    <x:xf numFmtId="0" fontId="53" fillId="0" borderId="0" xfId="0" applyNumberFormat="1" applyFont="1" applyFill="1" applyBorder="1"/>
    <x:xf numFmtId="0" fontId="53" fillId="0" borderId="41" xfId="0" applyNumberFormat="1" applyFont="1" applyFill="1" applyBorder="1"/>
    <x:xf numFmtId="0" fontId="53" fillId="0" borderId="42" xfId="0" applyNumberFormat="1" applyFont="1" applyFill="1" applyBorder="1"/>
    <x:xf numFmtId="0" fontId="53" fillId="0" borderId="43" xfId="0" applyNumberFormat="1" applyFont="1" applyFill="1" applyBorder="1"/>
    <x:xf numFmtId="0" fontId="53" fillId="0" borderId="41" xfId="0" applyNumberFormat="1" applyFont="1" applyFill="1" applyBorder="1" applyAlignment="1">
      <x:alignment vertical="center"/>
    </x:xf>
    <x:xf numFmtId="0" fontId="53" fillId="0" borderId="42" xfId="0" applyNumberFormat="1" applyFont="1" applyFill="1" applyBorder="1" applyAlignment="1">
      <x:alignment vertical="center"/>
    </x:xf>
    <x:xf numFmtId="0" fontId="53" fillId="0" borderId="43" xfId="0" applyNumberFormat="1" applyFont="1" applyFill="1" applyBorder="1" applyAlignment="1">
      <x:alignment vertical="center"/>
    </x:xf>
    <x:xf numFmtId="0" fontId="53" fillId="0" borderId="41" xfId="0" applyNumberFormat="1" applyFont="1" applyFill="1" applyBorder="1" applyAlignment="1">
      <x:alignment horizontal="right" vertical="center"/>
    </x:xf>
    <x:xf numFmtId="0" fontId="53" fillId="0" borderId="42" xfId="0" applyNumberFormat="1" applyFont="1" applyFill="1" applyBorder="1" applyAlignment="1">
      <x:alignment horizontal="right" vertical="center"/>
    </x:xf>
    <x:xf numFmtId="0" fontId="53" fillId="0" borderId="43" xfId="0" applyNumberFormat="1" applyFont="1" applyFill="1" applyBorder="1" applyAlignment="1">
      <x:alignment horizontal="right" vertical="center"/>
    </x:xf>
    <x:xf numFmtId="200" fontId="53" fillId="0" borderId="41" xfId="0" applyNumberFormat="1" applyFont="1" applyFill="1" applyBorder="1" applyAlignment="1">
      <x:alignment horizontal="right" vertical="center"/>
    </x:xf>
    <x:xf numFmtId="200" fontId="53" fillId="0" borderId="42" xfId="0" applyNumberFormat="1" applyFont="1" applyFill="1" applyBorder="1" applyAlignment="1">
      <x:alignment horizontal="right" vertical="center"/>
    </x:xf>
    <x:xf numFmtId="200" fontId="53" fillId="0" borderId="43" xfId="0" applyNumberFormat="1" applyFont="1" applyFill="1" applyBorder="1" applyAlignment="1">
      <x:alignment horizontal="right" vertical="center"/>
    </x:xf>
    <x:xf numFmtId="201" fontId="53" fillId="0" borderId="41" xfId="0" applyNumberFormat="1" applyFont="1" applyFill="1" applyBorder="1" applyAlignment="1">
      <x:alignment horizontal="right" vertical="center"/>
    </x:xf>
    <x:xf numFmtId="201" fontId="53" fillId="0" borderId="42" xfId="0" applyNumberFormat="1" applyFont="1" applyFill="1" applyBorder="1" applyAlignment="1">
      <x:alignment horizontal="right" vertical="center"/>
    </x:xf>
    <x:xf numFmtId="201" fontId="53" fillId="0" borderId="43" xfId="0" applyNumberFormat="1" applyFont="1" applyFill="1" applyBorder="1" applyAlignment="1">
      <x:alignment horizontal="right" vertical="center"/>
    </x:xf>
    <x:xf numFmtId="209" fontId="53" fillId="0" borderId="41" xfId="0" applyNumberFormat="1" applyFont="1" applyFill="1" applyBorder="1" applyAlignment="1">
      <x:alignment horizontal="right" vertical="center"/>
    </x:xf>
    <x:xf numFmtId="209" fontId="53" fillId="0" borderId="42" xfId="0" applyNumberFormat="1" applyFont="1" applyFill="1" applyBorder="1" applyAlignment="1">
      <x:alignment horizontal="right" vertical="center"/>
    </x:xf>
    <x:xf numFmtId="209" fontId="53" fillId="0" borderId="43" xfId="0" applyNumberFormat="1" applyFont="1" applyFill="1" applyBorder="1" applyAlignment="1">
      <x:alignment horizontal="right" vertical="center"/>
    </x:xf>
    <x:xf numFmtId="0" fontId="35" fillId="50" borderId="0" xfId="0" applyNumberFormat="1" applyFont="1" applyFill="1" applyBorder="1"/>
    <x:xf numFmtId="0" fontId="0" fillId="53" borderId="0" xfId="0" applyNumberFormat="1" applyFont="1" applyFill="1" applyBorder="1"/>
    <x:xf numFmtId="0" fontId="54" fillId="53" borderId="0" xfId="0" applyNumberFormat="1" applyFont="1" applyFill="1" applyBorder="1"/>
    <x:xf numFmtId="0" fontId="54" fillId="0" borderId="0" xfId="0" applyNumberFormat="1" applyFont="1" applyFill="1" applyBorder="1"/>
    <x:xf numFmtId="0" fontId="54" fillId="0" borderId="0" xfId="0" applyNumberFormat="1" applyFont="1" applyFill="1" applyBorder="1" applyAlignment="1">
      <x:alignment horizontal="right"/>
    </x:xf>
    <x:xf numFmtId="209" fontId="54" fillId="0" borderId="0" xfId="0" applyNumberFormat="1" applyFont="1" applyFill="1" applyBorder="1" applyAlignment="1">
      <x:alignment horizontal="right"/>
    </x:xf>
    <x:xf numFmtId="201" fontId="54" fillId="0" borderId="0" xfId="0" applyNumberFormat="1" applyFont="1" applyFill="1" applyBorder="1" applyAlignment="1">
      <x:alignment horizontal="right"/>
    </x:xf>
    <x:xf numFmtId="200" fontId="54" fillId="0" borderId="0" xfId="0" applyNumberFormat="1" applyFont="1" applyFill="1" applyBorder="1" applyAlignment="1">
      <x:alignment horizontal="right"/>
    </x:xf>
    <x:xf numFmtId="0" fontId="0" fillId="54" borderId="0" xfId="0" applyNumberFormat="1" applyFont="1" applyFill="1" applyBorder="1"/>
    <x:xf numFmtId="0" fontId="55" fillId="54" borderId="0" xfId="0" applyNumberFormat="1" applyFont="1" applyFill="1" applyBorder="1"/>
    <x:xf numFmtId="0" fontId="55" fillId="54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76B35"/>
      </x:font>
      <x:fill>
        <x:patternFill>
          <x:bgColor rgb="FFD8F3DF"/>
        </x:patternFill>
      </x:fill>
    </x:dxf>
    <x:dxf>
      <x:font>
        <x:color rgb="FF8A2323"/>
      </x:font>
      <x:fill>
        <x:patternFill>
          <x:bgColor rgb="FFFAD4D4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color rgb="FF176B3A"/>
      </x:font>
      <x:fill>
        <x:patternFill>
          <x:bgColor rgb="FFD7F0DF"/>
        </x:patternFill>
      </x:fill>
    </x:dxf>
    <x:dxf>
      <x:font>
        <x:color rgb="FFA93333"/>
      </x:font>
      <x:fill>
        <x:patternFill>
          <x:bgColor rgb="FFFA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c9174ee4b44ed2" /><Relationship Type="http://schemas.openxmlformats.org/officeDocument/2006/relationships/theme" Target="/xl/theme/theme1.xml" Id="Re19ac0be2fbc4a14" /><Relationship Type="http://schemas.openxmlformats.org/officeDocument/2006/relationships/sharedStrings" Target="/xl/sharedStrings.xml" Id="R0278872c5fbb4258" /><Relationship Type="http://schemas.openxmlformats.org/officeDocument/2006/relationships/worksheet" Target="/xl/worksheets/sheet1.xml" Id="Radf88247ea634bb6" /><Relationship Type="http://schemas.openxmlformats.org/officeDocument/2006/relationships/worksheet" Target="/xl/worksheets/sheet2.xml" Id="R3e8d66059f7a40c8" /><Relationship Type="http://schemas.openxmlformats.org/officeDocument/2006/relationships/worksheet" Target="/xl/worksheets/sheet3.xml" Id="R27ba814d69b3493b" /><Relationship Type="http://schemas.openxmlformats.org/officeDocument/2006/relationships/worksheet" Target="/xl/worksheets/sheet4.xml" Id="R449e4596194542b7" /><Relationship Type="http://schemas.openxmlformats.org/officeDocument/2006/relationships/worksheet" Target="/xl/worksheets/sheet5.xml" Id="R47f2af311a5c46b4" /><Relationship Type="http://schemas.openxmlformats.org/officeDocument/2006/relationships/worksheet" Target="/xl/worksheets/sheet6.xml" Id="Rf660b3c357524fd0" /><Relationship Type="http://schemas.openxmlformats.org/officeDocument/2006/relationships/worksheet" Target="/xl/worksheets/sheet7.xml" Id="R03d73db18b7c48e0" /><Relationship Type="http://schemas.openxmlformats.org/officeDocument/2006/relationships/worksheet" Target="/xl/worksheets/sheet8.xml" Id="Rca5900293eb04b18" /><Relationship Type="http://schemas.openxmlformats.org/officeDocument/2006/relationships/worksheet" Target="/xl/worksheets/sheet9.xml" Id="Rfe336d99dd0144f1" /><Relationship Type="http://schemas.openxmlformats.org/officeDocument/2006/relationships/worksheet" Target="/xl/worksheets/sheet10.xml" Id="R459819cea6494ebd" /><Relationship Type="http://schemas.openxmlformats.org/officeDocument/2006/relationships/worksheet" Target="/xl/worksheets/sheet11.xml" Id="Re593b7346bca40a2" /><Relationship Type="http://schemas.openxmlformats.org/officeDocument/2006/relationships/worksheet" Target="/xl/worksheets/sheet12.xml" Id="Re1d4deb8fab44e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4" customHeight="1">
      <x:c r="A1" s="208" t="str">
        <x:v>Warpgroup Register Reallocation</x:v>
      </x:c>
      <x:c r="B1" s="208"/>
      <x:c r="C1" s="208"/>
      <x:c r="D1" s="208"/>
      <x:c r="E1" s="208"/>
      <x:c r="F1" s="208"/>
    </x:row>
    <x:row r="2" ht="24" customHeight="1">
      <x:c r="A2" s="211" t="str">
        <x:v>NVIDIA H20 | M=1024, N=1408, K=2048 | 64 x 64 weight block | Stage 3 TMA | producer=40 registers | math=128 registers</x:v>
      </x:c>
      <x:c r="B2" s="211"/>
      <x:c r="C2" s="211"/>
      <x:c r="D2" s="211"/>
      <x:c r="E2" s="211"/>
      <x:c r="F2" s="211"/>
    </x:row>
    <x:row r="3">
      <x:c r="A3" s="154"/>
      <x:c r="B3" s="154"/>
      <x:c r="C3" s="154"/>
      <x:c r="D3" s="154"/>
      <x:c r="E3" s="154"/>
      <x:c r="F3" s="154"/>
    </x:row>
    <x:row r="4">
      <x:c r="A4" s="218" t="str">
        <x:v>Summary</x:v>
      </x:c>
      <x:c r="B4" s="218" t="str">
        <x:v>Value</x:v>
      </x:c>
      <x:c r="C4" s="154"/>
      <x:c r="D4" s="154"/>
      <x:c r="E4" s="154"/>
      <x:c r="F4" s="154"/>
    </x:row>
    <x:row r="5">
      <x:c r="A5" s="156" t="str">
        <x:v>Stage 3 mean NCU duration (us)</x:v>
      </x:c>
      <x:c r="B5" s="157" t="n">
        <x:f>AVERAGE(B13,D13)</x:f>
        <x:v>62</x:v>
      </x:c>
      <x:c r="C5" s="154"/>
      <x:c r="D5" s="154"/>
      <x:c r="E5" s="154"/>
      <x:c r="F5" s="154"/>
    </x:row>
    <x:row r="6">
      <x:c r="A6" s="156" t="str">
        <x:v>Register-reallocation mean (us)</x:v>
      </x:c>
      <x:c r="B6" s="157" t="n">
        <x:f>AVERAGE(C13,E13)</x:f>
        <x:v>61.985</x:v>
      </x:c>
      <x:c r="C6" s="154"/>
      <x:c r="D6" s="154"/>
      <x:c r="E6" s="154"/>
      <x:c r="F6" s="154"/>
    </x:row>
    <x:row r="7">
      <x:c r="A7" s="156" t="str">
        <x:v>Latency change</x:v>
      </x:c>
      <x:c r="B7" s="223" t="n">
        <x:f>B6/B5-1</x:f>
        <x:v>-0.00024193548387096975</x:v>
      </x:c>
      <x:c r="C7" s="154"/>
      <x:c r="D7" s="154"/>
      <x:c r="E7" s="154"/>
      <x:c r="F7" s="154"/>
    </x:row>
    <x:row r="8">
      <x:c r="A8" s="160" t="str">
        <x:v>Decision</x:v>
      </x:c>
      <x:c r="B8" s="160" t="str">
        <x:v>Preserve implementation; do not select</x:v>
      </x:c>
      <x:c r="C8" s="154"/>
      <x:c r="D8" s="154"/>
      <x:c r="E8" s="154"/>
      <x:c r="F8" s="154"/>
    </x:row>
    <x:row r="9">
      <x:c r="A9" s="154"/>
      <x:c r="B9" s="154"/>
      <x:c r="C9" s="154"/>
      <x:c r="D9" s="154"/>
      <x:c r="E9" s="154"/>
      <x:c r="F9" s="154"/>
    </x:row>
    <x:row r="10">
      <x:c r="A10" s="154"/>
      <x:c r="B10" s="154"/>
      <x:c r="C10" s="154"/>
      <x:c r="D10" s="154"/>
      <x:c r="E10" s="154"/>
      <x:c r="F10" s="154"/>
    </x:row>
    <x:row r="11">
      <x:c r="A11" s="217" t="str">
        <x:v>Two Paired NCU Runs</x:v>
      </x:c>
      <x:c r="B11" s="217"/>
      <x:c r="C11" s="217"/>
      <x:c r="D11" s="217"/>
      <x:c r="E11" s="217"/>
      <x:c r="F11" s="217"/>
    </x:row>
    <x:row r="12" ht="36" customHeight="1">
      <x:c r="A12" s="218" t="str">
        <x:v>Metric</x:v>
      </x:c>
      <x:c r="B12" s="218" t="str">
        <x:v>Stage 3 R1</x:v>
      </x:c>
      <x:c r="C12" s="218" t="str">
        <x:v>Reg realloc R1</x:v>
      </x:c>
      <x:c r="D12" s="218" t="str">
        <x:v>Stage 3 R2</x:v>
      </x:c>
      <x:c r="E12" s="218" t="str">
        <x:v>Reg realloc R2</x:v>
      </x:c>
      <x:c r="F12" s="218" t="str">
        <x:v>Observation</x:v>
      </x:c>
    </x:row>
    <x:row r="13">
      <x:c r="A13" s="156" t="str">
        <x:v>Duration (us)</x:v>
      </x:c>
      <x:c r="B13" s="157" t="n">
        <x:v>62.27</x:v>
      </x:c>
      <x:c r="C13" s="157" t="n">
        <x:v>61.6</x:v>
      </x:c>
      <x:c r="D13" s="157" t="n">
        <x:v>61.73</x:v>
      </x:c>
      <x:c r="E13" s="157" t="n">
        <x:v>62.37</x:v>
      </x:c>
      <x:c r="F13" s="221" t="str">
        <x:v>The direction reverses between runs</x:v>
      </x:c>
    </x:row>
    <x:row r="14">
      <x:c r="A14" s="156" t="str">
        <x:v>SM busy (%)</x:v>
      </x:c>
      <x:c r="B14" s="157" t="n">
        <x:v>70.19</x:v>
      </x:c>
      <x:c r="C14" s="157" t="n">
        <x:v>68.62</x:v>
      </x:c>
      <x:c r="D14" s="157" t="n">
        <x:v>70.71</x:v>
      </x:c>
      <x:c r="E14" s="157" t="n">
        <x:v>69.17</x:v>
      </x:c>
      <x:c r="F14" s="221" t="str">
        <x:v>Reallocation is consistently lower</x:v>
      </x:c>
    </x:row>
    <x:row r="15">
      <x:c r="A15" s="156" t="str">
        <x:v>Eligible warps / scheduler</x:v>
      </x:c>
      <x:c r="B15" s="157" t="n">
        <x:v>0.29</x:v>
      </x:c>
      <x:c r="C15" s="157" t="n">
        <x:v>0.29</x:v>
      </x:c>
      <x:c r="D15" s="157" t="n">
        <x:v>0.29</x:v>
      </x:c>
      <x:c r="E15" s="157" t="n">
        <x:v>0.29</x:v>
      </x:c>
      <x:c r="F15" s="221" t="str">
        <x:v>No scheduler-level change</x:v>
      </x:c>
    </x:row>
    <x:row r="16">
      <x:c r="A16" s="156" t="str">
        <x:v>Warp cycles / issued instruction</x:v>
      </x:c>
      <x:c r="B16" s="157" t="n">
        <x:v>23.76</x:v>
      </x:c>
      <x:c r="C16" s="157" t="n">
        <x:v>24.43</x:v>
      </x:c>
      <x:c r="D16" s="157" t="n">
        <x:v>23.89</x:v>
      </x:c>
      <x:c r="E16" s="157" t="n">
        <x:v>24.37</x:v>
      </x:c>
      <x:c r="F16" s="221" t="str">
        <x:v>Reallocation is slightly higher</x:v>
      </x:c>
    </x:row>
    <x:row r="17">
      <x:c r="A17" s="156" t="str">
        <x:v>Registers / thread</x:v>
      </x:c>
      <x:c r="B17" s="157" t="n">
        <x:v>60</x:v>
      </x:c>
      <x:c r="C17" s="157" t="n">
        <x:v>60</x:v>
      </x:c>
      <x:c r="D17" s="157" t="n">
        <x:v>60</x:v>
      </x:c>
      <x:c r="E17" s="157" t="n">
        <x:v>60</x:v>
      </x:c>
      <x:c r="F17" s="221" t="str">
        <x:v>Math warpgroup does not use the larger budget</x:v>
      </x:c>
    </x:row>
    <x:row r="18">
      <x:c r="A18" s="156" t="str">
        <x:v>Dynamic shared memory (KB/CTA)</x:v>
      </x:c>
      <x:c r="B18" s="157" t="n">
        <x:v>66.56</x:v>
      </x:c>
      <x:c r="C18" s="157" t="n">
        <x:v>66.56</x:v>
      </x:c>
      <x:c r="D18" s="157" t="n">
        <x:v>66.56</x:v>
      </x:c>
      <x:c r="E18" s="157" t="n">
        <x:v>66.56</x:v>
      </x:c>
      <x:c r="F18" s="221" t="str">
        <x:v>Unchanged</x:v>
      </x:c>
    </x:row>
    <x:row r="19">
      <x:c r="A19" s="156" t="str">
        <x:v>Theoretical occupancy (%)</x:v>
      </x:c>
      <x:c r="B19" s="157" t="n">
        <x:v>37.5</x:v>
      </x:c>
      <x:c r="C19" s="157" t="n">
        <x:v>37.5</x:v>
      </x:c>
      <x:c r="D19" s="157" t="n">
        <x:v>37.5</x:v>
      </x:c>
      <x:c r="E19" s="157" t="n">
        <x:v>37.5</x:v>
      </x:c>
      <x:c r="F19" s="221" t="str">
        <x:v>Still limited to 3 CTA/SM by shared memory</x:v>
      </x:c>
    </x:row>
    <x:row r="20">
      <x:c r="A20" s="156" t="str">
        <x:v>Achieved occupancy (%)</x:v>
      </x:c>
      <x:c r="B20" s="157" t="n">
        <x:v>31.23</x:v>
      </x:c>
      <x:c r="C20" s="157" t="n">
        <x:v>31.34</x:v>
      </x:c>
      <x:c r="D20" s="157" t="n">
        <x:v>31.37</x:v>
      </x:c>
      <x:c r="E20" s="157" t="n">
        <x:v>31.34</x:v>
      </x:c>
      <x:c r="F20" s="221" t="str">
        <x:v>Effectively unchanged</x:v>
      </x:c>
    </x:row>
    <x:row r="21">
      <x:c r="A21" s="156" t="str">
        <x:v>CTA barrier stall (%)</x:v>
      </x:c>
      <x:c r="B21" s="157" t="n">
        <x:v>68.4</x:v>
      </x:c>
      <x:c r="C21" s="157" t="n">
        <x:v>68.1</x:v>
      </x:c>
      <x:c r="D21" s="157" t="n">
        <x:v>67.9</x:v>
      </x:c>
      <x:c r="E21" s="157" t="n">
        <x:v>67.3</x:v>
      </x:c>
      <x:c r="F21" s="221" t="str">
        <x:v>Main bottleneck remains</x:v>
      </x:c>
    </x:row>
    <x:row r="22">
      <x:c r="A22" s="160" t="str">
        <x:v>Local-memory spilling requests</x:v>
      </x:c>
      <x:c r="B22" s="161" t="n">
        <x:v>0</x:v>
      </x:c>
      <x:c r="C22" s="161" t="n">
        <x:v>0</x:v>
      </x:c>
      <x:c r="D22" s="161" t="n">
        <x:v>0</x:v>
      </x:c>
      <x:c r="E22" s="161" t="n">
        <x:v>0</x:v>
      </x:c>
      <x:c r="F22" s="222" t="str">
        <x:v>No producer spill</x:v>
      </x:c>
    </x:row>
    <x:row r="23">
      <x:c r="A23" s="154"/>
      <x:c r="B23" s="154"/>
      <x:c r="C23" s="154"/>
      <x:c r="D23" s="154"/>
      <x:c r="E23" s="154"/>
      <x:c r="F23" s="154"/>
    </x:row>
    <x:row r="24">
      <x:c r="A24" s="154"/>
      <x:c r="B24" s="154"/>
      <x:c r="C24" s="154"/>
      <x:c r="D24" s="154"/>
      <x:c r="E24" s="154"/>
      <x:c r="F24" s="154"/>
    </x:row>
    <x:row r="25" ht="52" customHeight="1">
      <x:c r="A25" s="226" t="str">
        <x:v>Decision: the setmaxnreg instructions are correct and do not introduce spills, but the kernel still compiles to 60 registers/thread. The two-run mean changes by less than 0.1%, so the implementation is retained for future larger-accumulator tiles and is not selected for the current 64 x 64 kernel.</x:v>
      </x:c>
      <x:c r="B25" s="226"/>
      <x:c r="C25" s="226"/>
      <x:c r="D25" s="226"/>
      <x:c r="E25" s="226"/>
      <x:c r="F25" s="226"/>
    </x:row>
    <x:row r="26">
      <x:c r="A26" s="154"/>
      <x:c r="B26" s="154"/>
      <x:c r="C26" s="154"/>
      <x:c r="D26" s="154"/>
      <x:c r="E26" s="154"/>
      <x:c r="F26" s="154"/>
    </x:row>
    <x:row r="27" ht="42" customHeight="1">
      <x:c r="A27" s="229" t="str">
        <x:v>Environment note: a separate process occupied about 4.5 GiB of GPU memory during the Kineto sweep and produced bimodal timings; those sweep numbers are archived as raw logs but excluded from the decision.</x:v>
      </x:c>
      <x:c r="B27" s="229"/>
      <x:c r="C27" s="229"/>
      <x:c r="D27" s="229"/>
      <x:c r="E27" s="229"/>
      <x:c r="F27" s="229"/>
    </x:row>
  </x:sheetData>
  <x:mergeCells>
    <x:mergeCell ref="A1:F1"/>
    <x:mergeCell ref="A2:F2"/>
    <x:mergeCell ref="A11:F11"/>
    <x:mergeCell ref="A25:F25"/>
    <x:mergeCell ref="A27:F27"/>
  </x:mergeCells>
  <x:conditionalFormatting sqref="B7:B7">
    <x:cfRule type="colorScale" priority="1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2" hidden="0" customWidth="1"/>
    <x:col min="3" max="3" width="17" hidden="0" customWidth="1"/>
    <x:col min="4" max="4" width="18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300" t="str">
        <x:v>Hybrid Sparse Metadata Optimization</x:v>
      </x:c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</x:row>
    <x:row r="2" ht="24" customHeight="1">
      <x:c r="A2" s="301" t="str">
        <x:v>NVIDIA H20 | M x N x K = 1024 x 1408 x 2048 | NCU --set full | BF16 input/output | FP32 accumulation</x:v>
      </x:c>
      <x:c r="B2" s="301"/>
      <x:c r="C2" s="301"/>
      <x:c r="D2" s="301"/>
      <x:c r="E2" s="301"/>
      <x:c r="F2" s="301"/>
      <x:c r="G2" s="301"/>
      <x:c r="H2" s="301"/>
      <x:c r="I2" s="301"/>
      <x:c r="J2" s="301"/>
      <x:c r="K2" s="301"/>
      <x:c r="L2" s="301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2" customHeight="1">
      <x:c r="A4" s="302" t="str">
        <x:v>Version</x:v>
      </x:c>
      <x:c r="B4" s="302" t="str">
        <x:v>Metadata path</x:v>
      </x:c>
      <x:c r="C4" s="302" t="str">
        <x:v>Epilogue overlap</x:v>
      </x:c>
      <x:c r="D4" s="302" t="str">
        <x:v>NCU latency (us)</x:v>
      </x:c>
      <x:c r="E4" s="302" t="str">
        <x:v>Speedup vs Stage 3</x:v>
      </x:c>
      <x:c r="F4" s="302" t="str">
        <x:v>Barrier stall</x:v>
      </x:c>
      <x:c r="G4" s="302" t="str">
        <x:v>Long scoreboard</x:v>
      </x:c>
      <x:c r="H4" s="302" t="str">
        <x:v>Eligible warps</x:v>
      </x:c>
      <x:c r="I4" s="302" t="str">
        <x:v>Executed instructions</x:v>
      </x:c>
      <x:c r="J4" s="302" t="str">
        <x:v>Registers / thread</x:v>
      </x:c>
      <x:c r="K4" s="302" t="str">
        <x:v>Dynamic smem (KB)</x:v>
      </x:c>
      <x:c r="L4" s="302" t="str">
        <x:v>Tensor pipe active</x:v>
      </x:c>
    </x:row>
    <x:row r="5">
      <x:c r="A5" s="303" t="str">
        <x:v>Stage 3</x:v>
      </x:c>
      <x:c r="B5" s="304" t="str">
        <x:v>Block-row shared staging</x:v>
      </x:c>
      <x:c r="C5" s="304" t="str">
        <x:v>No</x:v>
      </x:c>
      <x:c r="D5" s="305" t="n">
        <x:v>61.6</x:v>
      </x:c>
      <x:c r="E5" s="306" t="n">
        <x:f>$D$5/D5</x:f>
        <x:v>1</x:v>
      </x:c>
      <x:c r="F5" s="305" t="n">
        <x:v>16.094</x:v>
      </x:c>
      <x:c r="G5" s="305" t="n">
        <x:v>1.693</x:v>
      </x:c>
      <x:c r="H5" s="305" t="n">
        <x:v>0.29</x:v>
      </x:c>
      <x:c r="I5" s="307" t="n">
        <x:v>5099990</x:v>
      </x:c>
      <x:c r="J5" s="308" t="n">
        <x:v>60</x:v>
      </x:c>
      <x:c r="K5" s="305" t="n">
        <x:v>66.56</x:v>
      </x:c>
      <x:c r="L5" s="309" t="n">
        <x:v>0.15278</x:v>
      </x:c>
    </x:row>
    <x:row r="6">
      <x:c r="A6" s="310" t="str">
        <x:v>Direct metadata</x:v>
      </x:c>
      <x:c r="B6" s="311" t="str">
        <x:v>Math warp global load</x:v>
      </x:c>
      <x:c r="C6" s="311" t="str">
        <x:v>No</x:v>
      </x:c>
      <x:c r="D6" s="312" t="n">
        <x:v>61.44</x:v>
      </x:c>
      <x:c r="E6" s="313" t="n">
        <x:f>$D$5/D6</x:f>
        <x:v>1.0026041666666667</x:v>
      </x:c>
      <x:c r="F6" s="312" t="n">
        <x:v>16.053</x:v>
      </x:c>
      <x:c r="G6" s="312" t="n">
        <x:v>2.879</x:v>
      </x:c>
      <x:c r="H6" s="312" t="n">
        <x:v>0.25</x:v>
      </x:c>
      <x:c r="I6" s="314" t="n">
        <x:v>4981946</x:v>
      </x:c>
      <x:c r="J6" s="315" t="n">
        <x:v>63</x:v>
      </x:c>
      <x:c r="K6" s="312" t="n">
        <x:v>58.368</x:v>
      </x:c>
      <x:c r="L6" s="316" t="n">
        <x:v>0.14541</x:v>
      </x:c>
    </x:row>
    <x:row r="7">
      <x:c r="A7" s="310" t="str">
        <x:v>Epilogue overlap</x:v>
      </x:c>
      <x:c r="B7" s="311" t="str">
        <x:v>Math warp global load</x:v>
      </x:c>
      <x:c r="C7" s="311" t="str">
        <x:v>Yes</x:v>
      </x:c>
      <x:c r="D7" s="312" t="n">
        <x:v>61.28</x:v>
      </x:c>
      <x:c r="E7" s="313" t="n">
        <x:f>$D$5/D7</x:f>
        <x:v>1.0052219321148825</x:v>
      </x:c>
      <x:c r="F7" s="312" t="n">
        <x:v>7.033</x:v>
      </x:c>
      <x:c r="G7" s="312" t="n">
        <x:v>3.768</x:v>
      </x:c>
      <x:c r="H7" s="312" t="n">
        <x:v>0.247</x:v>
      </x:c>
      <x:c r="I7" s="314" t="n">
        <x:v>4917475</x:v>
      </x:c>
      <x:c r="J7" s="315" t="n">
        <x:v>64</x:v>
      </x:c>
      <x:c r="K7" s="312" t="n">
        <x:v>58.368</x:v>
      </x:c>
      <x:c r="L7" s="316" t="n">
        <x:v>0.1461</x:v>
      </x:c>
    </x:row>
    <x:row r="8">
      <x:c r="A8" s="310" t="str">
        <x:v>Register prefetch</x:v>
      </x:c>
      <x:c r="B8" s="311" t="str">
        <x:v>Math warp register prefetch</x:v>
      </x:c>
      <x:c r="C8" s="311" t="str">
        <x:v>Yes</x:v>
      </x:c>
      <x:c r="D8" s="312" t="n">
        <x:v>61.632</x:v>
      </x:c>
      <x:c r="E8" s="313" t="n">
        <x:f>$D$5/D8</x:f>
        <x:v>0.9994807892004154</x:v>
      </x:c>
      <x:c r="F8" s="312" t="n">
        <x:v>6.743</x:v>
      </x:c>
      <x:c r="G8" s="312" t="n">
        <x:v>3.598</x:v>
      </x:c>
      <x:c r="H8" s="312" t="n">
        <x:v>0.259</x:v>
      </x:c>
      <x:c r="I8" s="314" t="n">
        <x:v>5189006</x:v>
      </x:c>
      <x:c r="J8" s="315" t="n">
        <x:v>64</x:v>
      </x:c>
      <x:c r="K8" s="312" t="n">
        <x:v>58.368</x:v>
      </x:c>
      <x:c r="L8" s="316" t="n">
        <x:v>0.14645</x:v>
      </x:c>
    </x:row>
    <x:row r="9">
      <x:c r="A9" s="310" t="str">
        <x:v>Stage-local TMA</x:v>
      </x:c>
      <x:c r="B9" s="311" t="str">
        <x:v>Extra 512 B TMA per sparse block</x:v>
      </x:c>
      <x:c r="C9" s="311" t="str">
        <x:v>Yes</x:v>
      </x:c>
      <x:c r="D9" s="312" t="n">
        <x:v>62.048</x:v>
      </x:c>
      <x:c r="E9" s="313" t="n">
        <x:f>$D$5/D9</x:f>
        <x:v>0.9927797833935018</x:v>
      </x:c>
      <x:c r="F9" s="312" t="n">
        <x:v>8.171</x:v>
      </x:c>
      <x:c r="G9" s="312" t="n">
        <x:v>2.362</x:v>
      </x:c>
      <x:c r="H9" s="312" t="n">
        <x:v>0.271</x:v>
      </x:c>
      <x:c r="I9" s="314" t="n">
        <x:v>4762508</x:v>
      </x:c>
      <x:c r="J9" s="315" t="n">
        <x:v>60</x:v>
      </x:c>
      <x:c r="K9" s="312" t="n">
        <x:v>59.392</x:v>
      </x:c>
      <x:c r="L9" s="316" t="n">
        <x:v>0.15506</x:v>
      </x:c>
    </x:row>
    <x:row r="10">
      <x:c r="A10" s="317" t="str">
        <x:v>Producer warp copy</x:v>
      </x:c>
      <x:c r="B10" s="318" t="str">
        <x:v>Coalesced 512 B vector copy</x:v>
      </x:c>
      <x:c r="C10" s="318" t="str">
        <x:v>Yes</x:v>
      </x:c>
      <x:c r="D10" s="319" t="n">
        <x:v>59.872</x:v>
      </x:c>
      <x:c r="E10" s="320" t="n">
        <x:f>$D$5/D10</x:f>
        <x:v>1.028861571352218</x:v>
      </x:c>
      <x:c r="F10" s="319" t="n">
        <x:v>7.332</x:v>
      </x:c>
      <x:c r="G10" s="319" t="n">
        <x:v>1.517</x:v>
      </x:c>
      <x:c r="H10" s="319" t="n">
        <x:v>0.275</x:v>
      </x:c>
      <x:c r="I10" s="321" t="n">
        <x:v>5204709</x:v>
      </x:c>
      <x:c r="J10" s="322" t="n">
        <x:v>60</x:v>
      </x:c>
      <x:c r="K10" s="319" t="n">
        <x:v>59.392</x:v>
      </x:c>
      <x:c r="L10" s="323" t="n">
        <x:v>0.15525</x:v>
      </x:c>
    </x:row>
    <x:row r="1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</x:row>
    <x:row r="12">
      <x:c r="A12" s="154"/>
      <x:c r="B12" s="154"/>
      <x:c r="C12" s="154"/>
      <x:c r="D12" s="154"/>
      <x:c r="E12" s="154"/>
      <x:c r="F12" s="154"/>
      <x:c r="G12" s="154"/>
      <x:c r="H12" s="154"/>
      <x:c r="I12" s="154"/>
      <x:c r="J12" s="154"/>
      <x:c r="K12" s="154"/>
      <x:c r="L12" s="154"/>
    </x:row>
    <x:row r="13" ht="26" customHeight="1">
      <x:c r="A13" s="324" t="str">
        <x:v>Current Best: Producer-Warp Metadata Copy</x:v>
      </x:c>
      <x:c r="B13" s="324"/>
      <x:c r="C13" s="324"/>
      <x:c r="D13" s="324"/>
      <x:c r="E13" s="324"/>
      <x:c r="F13" s="154"/>
      <x:c r="G13" s="154"/>
      <x:c r="H13" s="154"/>
      <x:c r="I13" s="154"/>
      <x:c r="J13" s="154"/>
      <x:c r="K13" s="154"/>
      <x:c r="L13" s="154"/>
    </x:row>
    <x:row r="14" ht="32" customHeight="1">
      <x:c r="A14" s="302" t="str">
        <x:v>Shape (M x N x K)</x:v>
      </x:c>
      <x:c r="B14" s="302" t="str">
        <x:v>Kernel latency (us)</x:v>
      </x:c>
      <x:c r="C14" s="302" t="str">
        <x:v>DeepGEMM latency (us)</x:v>
      </x:c>
      <x:c r="D14" s="302" t="str">
        <x:v>Speedup over DeepGEMM</x:v>
      </x:c>
      <x:c r="E14" s="302" t="str">
        <x:v>Result</x:v>
      </x:c>
      <x:c r="F14" s="154"/>
      <x:c r="G14" s="154"/>
      <x:c r="H14" s="154"/>
      <x:c r="I14" s="154"/>
      <x:c r="J14" s="154"/>
      <x:c r="K14" s="154"/>
      <x:c r="L14" s="154"/>
    </x:row>
    <x:row r="15">
      <x:c r="A15" s="325" t="str">
        <x:v>128 x 1408 x 2048</x:v>
      </x:c>
      <x:c r="B15" s="326" t="n">
        <x:v>16.32</x:v>
      </x:c>
      <x:c r="C15" s="326" t="n">
        <x:v>10.64</x:v>
      </x:c>
      <x:c r="D15" s="327" t="n">
        <x:f>C15/B15</x:f>
        <x:v>0.6519607843137255</x:v>
      </x:c>
      <x:c r="E15" s="328" t="str">
        <x:f>IF(D15&gt;=1.25,"Target met",IF(D15&gt;=1,"Faster","Slower"))</x:f>
        <x:v>Slower</x:v>
      </x:c>
      <x:c r="F15" s="154"/>
      <x:c r="G15" s="154"/>
      <x:c r="H15" s="154"/>
      <x:c r="I15" s="154"/>
      <x:c r="J15" s="154"/>
      <x:c r="K15" s="154"/>
      <x:c r="L15" s="154"/>
    </x:row>
    <x:row r="16">
      <x:c r="A16" s="329" t="str">
        <x:v>128 x 2048 x 1408</x:v>
      </x:c>
      <x:c r="B16" s="330" t="n">
        <x:v>11.61</x:v>
      </x:c>
      <x:c r="C16" s="330" t="n">
        <x:v>9.18</x:v>
      </x:c>
      <x:c r="D16" s="313" t="n">
        <x:f>C16/B16</x:f>
        <x:v>0.7906976744186046</x:v>
      </x:c>
      <x:c r="E16" s="331" t="str">
        <x:f>IF(D16&gt;=1.25,"Target met",IF(D16&gt;=1,"Faster","Slower"))</x:f>
        <x:v>Slower</x:v>
      </x:c>
      <x:c r="F16" s="154"/>
      <x:c r="G16" s="154"/>
      <x:c r="H16" s="154"/>
      <x:c r="I16" s="154"/>
      <x:c r="J16" s="154"/>
      <x:c r="K16" s="154"/>
      <x:c r="L16" s="154"/>
    </x:row>
    <x:row r="17">
      <x:c r="A17" s="329" t="str">
        <x:v>256 x 1408 x 2048</x:v>
      </x:c>
      <x:c r="B17" s="330" t="n">
        <x:v>47.04</x:v>
      </x:c>
      <x:c r="C17" s="330" t="n">
        <x:v>14.68</x:v>
      </x:c>
      <x:c r="D17" s="313" t="n">
        <x:f>C17/B17</x:f>
        <x:v>0.3120748299319728</x:v>
      </x:c>
      <x:c r="E17" s="331" t="str">
        <x:f>IF(D17&gt;=1.25,"Target met",IF(D17&gt;=1,"Faster","Slower"))</x:f>
        <x:v>Slower</x:v>
      </x:c>
      <x:c r="F17" s="154"/>
      <x:c r="G17" s="154"/>
      <x:c r="H17" s="154"/>
      <x:c r="I17" s="154"/>
      <x:c r="J17" s="154"/>
      <x:c r="K17" s="154"/>
      <x:c r="L17" s="154"/>
    </x:row>
    <x:row r="18">
      <x:c r="A18" s="329" t="str">
        <x:v>256 x 2048 x 1408</x:v>
      </x:c>
      <x:c r="B18" s="330" t="n">
        <x:v>16.45</x:v>
      </x:c>
      <x:c r="C18" s="330" t="n">
        <x:v>13.97</x:v>
      </x:c>
      <x:c r="D18" s="313" t="n">
        <x:f>C18/B18</x:f>
        <x:v>0.8492401215805472</x:v>
      </x:c>
      <x:c r="E18" s="331" t="str">
        <x:f>IF(D18&gt;=1.25,"Target met",IF(D18&gt;=1,"Faster","Slower"))</x:f>
        <x:v>Slower</x:v>
      </x:c>
      <x:c r="F18" s="154"/>
      <x:c r="G18" s="154"/>
      <x:c r="H18" s="154"/>
      <x:c r="I18" s="154"/>
      <x:c r="J18" s="154"/>
      <x:c r="K18" s="154"/>
      <x:c r="L18" s="154"/>
    </x:row>
    <x:row r="19">
      <x:c r="A19" s="329" t="str">
        <x:v>512 x 1408 x 2048</x:v>
      </x:c>
      <x:c r="B19" s="330" t="n">
        <x:v>53.85</x:v>
      </x:c>
      <x:c r="C19" s="330" t="n">
        <x:v>50.34</x:v>
      </x:c>
      <x:c r="D19" s="313" t="n">
        <x:f>C19/B19</x:f>
        <x:v>0.9348189415041783</x:v>
      </x:c>
      <x:c r="E19" s="331" t="str">
        <x:f>IF(D19&gt;=1.25,"Target met",IF(D19&gt;=1,"Faster","Slower"))</x:f>
        <x:v>Slower</x:v>
      </x:c>
      <x:c r="F19" s="154"/>
      <x:c r="G19" s="154"/>
      <x:c r="H19" s="154"/>
      <x:c r="I19" s="154"/>
      <x:c r="J19" s="154"/>
      <x:c r="K19" s="154"/>
      <x:c r="L19" s="154"/>
    </x:row>
    <x:row r="20">
      <x:c r="A20" s="329" t="str">
        <x:v>512 x 2048 x 1408</x:v>
      </x:c>
      <x:c r="B20" s="330" t="n">
        <x:v>55.67</x:v>
      </x:c>
      <x:c r="C20" s="330" t="n">
        <x:v>27.27</x:v>
      </x:c>
      <x:c r="D20" s="313" t="n">
        <x:f>C20/B20</x:f>
        <x:v>0.48985090713130947</x:v>
      </x:c>
      <x:c r="E20" s="331" t="str">
        <x:f>IF(D20&gt;=1.25,"Target met",IF(D20&gt;=1,"Faster","Slower"))</x:f>
        <x:v>Slower</x:v>
      </x:c>
      <x:c r="F20" s="154"/>
      <x:c r="G20" s="154"/>
      <x:c r="H20" s="154"/>
      <x:c r="I20" s="154"/>
      <x:c r="J20" s="154"/>
      <x:c r="K20" s="154"/>
      <x:c r="L20" s="154"/>
    </x:row>
    <x:row r="21">
      <x:c r="A21" s="329" t="str">
        <x:v>1024 x 1408 x 2048</x:v>
      </x:c>
      <x:c r="B21" s="330" t="n">
        <x:v>97.34</x:v>
      </x:c>
      <x:c r="C21" s="330" t="n">
        <x:v>98.38</x:v>
      </x:c>
      <x:c r="D21" s="313" t="n">
        <x:f>C21/B21</x:f>
        <x:v>1.0106841997123484</x:v>
      </x:c>
      <x:c r="E21" s="331" t="str">
        <x:f>IF(D21&gt;=1.25,"Target met",IF(D21&gt;=1,"Faster","Slower"))</x:f>
        <x:v>Faster</x:v>
      </x:c>
      <x:c r="F21" s="154"/>
      <x:c r="G21" s="154"/>
      <x:c r="H21" s="154"/>
      <x:c r="I21" s="154"/>
      <x:c r="J21" s="154"/>
      <x:c r="K21" s="154"/>
      <x:c r="L21" s="154"/>
    </x:row>
    <x:row r="22">
      <x:c r="A22" s="329" t="str">
        <x:v>1024 x 2048 x 1408</x:v>
      </x:c>
      <x:c r="B22" s="330" t="n">
        <x:v>97.09</x:v>
      </x:c>
      <x:c r="C22" s="330" t="n">
        <x:v>97.88</x:v>
      </x:c>
      <x:c r="D22" s="313" t="n">
        <x:f>C22/B22</x:f>
        <x:v>1.0081367803069317</x:v>
      </x:c>
      <x:c r="E22" s="331" t="str">
        <x:f>IF(D22&gt;=1.25,"Target met",IF(D22&gt;=1,"Faster","Slower"))</x:f>
        <x:v>Faster</x:v>
      </x:c>
      <x:c r="F22" s="154"/>
      <x:c r="G22" s="154"/>
      <x:c r="H22" s="154"/>
      <x:c r="I22" s="154"/>
      <x:c r="J22" s="154"/>
      <x:c r="K22" s="154"/>
      <x:c r="L22" s="154"/>
    </x:row>
    <x:row r="23">
      <x:c r="A23" s="329" t="str">
        <x:v>2048 x 1408 x 2048</x:v>
      </x:c>
      <x:c r="B23" s="330" t="n">
        <x:v>164.67</x:v>
      </x:c>
      <x:c r="C23" s="330" t="n">
        <x:v>194.35</x:v>
      </x:c>
      <x:c r="D23" s="313" t="n">
        <x:f>C23/B23</x:f>
        <x:v>1.1802392664116113</x:v>
      </x:c>
      <x:c r="E23" s="331" t="str">
        <x:f>IF(D23&gt;=1.25,"Target met",IF(D23&gt;=1,"Faster","Slower"))</x:f>
        <x:v>Faster</x:v>
      </x:c>
      <x:c r="F23" s="154"/>
      <x:c r="G23" s="154"/>
      <x:c r="H23" s="154"/>
      <x:c r="I23" s="154"/>
      <x:c r="J23" s="154"/>
      <x:c r="K23" s="154"/>
      <x:c r="L23" s="154"/>
    </x:row>
    <x:row r="24">
      <x:c r="A24" s="329" t="str">
        <x:v>2048 x 2048 x 1408</x:v>
      </x:c>
      <x:c r="B24" s="330" t="n">
        <x:v>148.14</x:v>
      </x:c>
      <x:c r="C24" s="330" t="n">
        <x:v>93.4</x:v>
      </x:c>
      <x:c r="D24" s="313" t="n">
        <x:f>C24/B24</x:f>
        <x:v>0.6304846766572162</x:v>
      </x:c>
      <x:c r="E24" s="331" t="str">
        <x:f>IF(D24&gt;=1.25,"Target met",IF(D24&gt;=1,"Faster","Slower"))</x:f>
        <x:v>Slower</x:v>
      </x:c>
      <x:c r="F24" s="154"/>
      <x:c r="G24" s="154"/>
      <x:c r="H24" s="154"/>
      <x:c r="I24" s="154"/>
      <x:c r="J24" s="154"/>
      <x:c r="K24" s="154"/>
      <x:c r="L24" s="154"/>
    </x:row>
    <x:row r="25">
      <x:c r="A25" s="329" t="str">
        <x:v>4096 x 1408 x 2048</x:v>
      </x:c>
      <x:c r="B25" s="330" t="n">
        <x:v>169.82</x:v>
      </x:c>
      <x:c r="C25" s="330" t="n">
        <x:v>184.31</x:v>
      </x:c>
      <x:c r="D25" s="313" t="n">
        <x:f>C25/B25</x:f>
        <x:v>1.085325638911789</x:v>
      </x:c>
      <x:c r="E25" s="331" t="str">
        <x:f>IF(D25&gt;=1.25,"Target met",IF(D25&gt;=1,"Faster","Slower"))</x:f>
        <x:v>Faster</x:v>
      </x:c>
      <x:c r="F25" s="154"/>
      <x:c r="G25" s="154"/>
      <x:c r="H25" s="154"/>
      <x:c r="I25" s="154"/>
      <x:c r="J25" s="154"/>
      <x:c r="K25" s="154"/>
      <x:c r="L25" s="154"/>
    </x:row>
    <x:row r="26">
      <x:c r="A26" s="332" t="str">
        <x:v>4096 x 2048 x 1408</x:v>
      </x:c>
      <x:c r="B26" s="333" t="n">
        <x:v>159.7</x:v>
      </x:c>
      <x:c r="C26" s="333" t="n">
        <x:v>182.25</x:v>
      </x:c>
      <x:c r="D26" s="334" t="n">
        <x:f>C26/B26</x:f>
        <x:v>1.141202254226675</x:v>
      </x:c>
      <x:c r="E26" s="335" t="str">
        <x:f>IF(D26&gt;=1.25,"Target met",IF(D26&gt;=1,"Faster","Slower"))</x:f>
        <x:v>Faster</x:v>
      </x:c>
      <x:c r="F26" s="154"/>
      <x:c r="G26" s="154"/>
      <x:c r="H26" s="154"/>
      <x:c r="I26" s="154"/>
      <x:c r="J26" s="154"/>
      <x:c r="K26" s="154"/>
      <x:c r="L26" s="154"/>
    </x:row>
    <x:row r="27">
      <x:c r="A27" s="154"/>
      <x:c r="B27" s="154"/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4"/>
    </x:row>
    <x:row r="28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</x:row>
    <x:row r="29" ht="34" customHeight="1">
      <x:c r="A29" s="336" t="str">
        <x:v>Benchmark note: all eight GPUs had substantial external load. Use paired rows and NCU deltas for iteration decisions; the 1.25x DeepGEMM target is not yet verified.</x:v>
      </x:c>
      <x:c r="B29" s="336"/>
      <x:c r="C29" s="336"/>
      <x:c r="D29" s="336"/>
      <x:c r="E29" s="336"/>
      <x:c r="F29" s="336"/>
      <x:c r="G29" s="336"/>
      <x:c r="H29" s="336"/>
      <x:c r="I29" s="336"/>
      <x:c r="J29" s="336"/>
      <x:c r="K29" s="336"/>
      <x:c r="L29" s="336"/>
    </x:row>
  </x:sheetData>
  <x:mergeCells>
    <x:mergeCell ref="A1:L1"/>
    <x:mergeCell ref="A2:L2"/>
    <x:mergeCell ref="A13:E13"/>
    <x:mergeCell ref="A29:L29"/>
  </x:mergeCells>
  <x:conditionalFormatting sqref="E5:E10">
    <x:cfRule type="colorScale" priority="1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D15:D26">
    <x:cfRule type="colorScale" priority="2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E15:E26">
    <x:cfRule type="containsText" dxfId="1" priority="3" operator="containsText" text="Faster"/>
    <x:cfRule type="containsText" dxfId="2" priority="4" operator="containsText" text="Slower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532" t="str">
        <x:v>Hybrid Sparse Output-Tile Reuse</x:v>
      </x:c>
      <x:c r="B1" s="532"/>
      <x:c r="C1" s="532"/>
      <x:c r="D1" s="532"/>
      <x:c r="E1" s="532"/>
      <x:c r="F1" s="532"/>
      <x:c r="G1" s="532"/>
    </x:row>
    <x:row r="2" ht="22" customHeight="1">
      <x:c r="A2" s="533" t="str">
        <x:v>NVIDIA H20 | BF16 input/output | FP32 accumulation | M x N x K = 4096 x 2048 x 1408 | L2 flush disabled</x:v>
      </x:c>
      <x:c r="B2" s="533"/>
      <x:c r="C2" s="533"/>
      <x:c r="D2" s="533"/>
      <x:c r="E2" s="533"/>
      <x:c r="F2" s="533"/>
      <x:c r="G2" s="533"/>
    </x:row>
    <x:row r="3" ht="20" customHeight="1">
      <x:c r="A3" s="488"/>
      <x:c r="B3" s="488"/>
      <x:c r="C3" s="488"/>
      <x:c r="D3" s="488"/>
      <x:c r="E3" s="488"/>
      <x:c r="F3" s="488"/>
      <x:c r="G3" s="488"/>
    </x:row>
    <x:row r="4" ht="30" customHeight="1">
      <x:c r="A4" s="534" t="str">
        <x:v>Version</x:v>
      </x:c>
      <x:c r="B4" s="535" t="str">
        <x:v>Run 1 (us)</x:v>
      </x:c>
      <x:c r="C4" s="535" t="str">
        <x:v>Run 2 (us)</x:v>
      </x:c>
      <x:c r="D4" s="535" t="str">
        <x:v>Run 3 (us)</x:v>
      </x:c>
      <x:c r="E4" s="535" t="str">
        <x:v>Average (us)</x:v>
      </x:c>
      <x:c r="F4" s="535" t="str">
        <x:v>Paired speedup</x:v>
      </x:c>
      <x:c r="G4" s="535" t="str">
        <x:v>Decision</x:v>
      </x:c>
    </x:row>
    <x:row r="5" ht="20" customHeight="1">
      <x:c r="A5" s="492" t="str">
        <x:v>Producer copy 64x64</x:v>
      </x:c>
      <x:c r="B5" s="493" t="n">
        <x:v>155.83</x:v>
      </x:c>
      <x:c r="C5" s="493" t="n">
        <x:v>155.6</x:v>
      </x:c>
      <x:c r="D5" s="493" t="n">
        <x:v>156.41</x:v>
      </x:c>
      <x:c r="E5" s="493" t="n">
        <x:f>AVERAGE(B5:D5)</x:f>
        <x:v>155.9466666666667</x:v>
      </x:c>
      <x:c r="F5" s="494" t="n">
        <x:f>AVERAGE($B$9/B5,$C$9/C5,$D$9/D5)</x:f>
        <x:v>1.1659354427141075</x:v>
      </x:c>
      <x:c r="G5" s="543" t="str">
        <x:v>Baseline</x:v>
      </x:c>
    </x:row>
    <x:row r="6" ht="20" customHeight="1">
      <x:c r="A6" s="496" t="str">
        <x:v>Output tile 128x64</x:v>
      </x:c>
      <x:c r="B6" s="497" t="n">
        <x:v>145.63</x:v>
      </x:c>
      <x:c r="C6" s="497" t="n">
        <x:v>153.28</x:v>
      </x:c>
      <x:c r="D6" s="497" t="n">
        <x:v>145.94</x:v>
      </x:c>
      <x:c r="E6" s="497" t="n">
        <x:f>AVERAGE(B6:D6)</x:f>
        <x:v>148.28333333333333</x:v>
      </x:c>
      <x:c r="F6" s="498" t="n">
        <x:f>AVERAGE($B$9/B6,$C$9/C6,$D$9/D6)</x:f>
        <x:v>1.226884757589631</x:v>
      </x:c>
      <x:c r="G6" s="544" t="str">
        <x:v>Retained</x:v>
      </x:c>
    </x:row>
    <x:row r="7" ht="20" customHeight="1">
      <x:c r="A7" s="553" t="str">
        <x:v>Stage kind</x:v>
      </x:c>
      <x:c r="B7" s="554" t="n">
        <x:v>144.07</x:v>
      </x:c>
      <x:c r="C7" s="554" t="n">
        <x:v>144.4</x:v>
      </x:c>
      <x:c r="D7" s="554" t="n">
        <x:v>144.33</x:v>
      </x:c>
      <x:c r="E7" s="554" t="n">
        <x:f>AVERAGE(B7:D7)</x:f>
        <x:v>144.26666666666668</x:v>
      </x:c>
      <x:c r="F7" s="555" t="n">
        <x:f>AVERAGE($B$9/B7,$C$9/C7,$D$9/D7)</x:f>
        <x:v>1.2603285021897923</x:v>
      </x:c>
      <x:c r="G7" s="556" t="str">
        <x:v>Current best</x:v>
      </x:c>
    </x:row>
    <x:row r="8" ht="20" customHeight="1">
      <x:c r="A8" s="557" t="str">
        <x:v>Stage selector</x:v>
      </x:c>
      <x:c r="B8" s="558" t="n">
        <x:v>144.24</x:v>
      </x:c>
      <x:c r="C8" s="558" t="n">
        <x:v>145.22</x:v>
      </x:c>
      <x:c r="D8" s="558" t="n">
        <x:v>144.61</x:v>
      </x:c>
      <x:c r="E8" s="558" t="n">
        <x:f>AVERAGE(B8:D8)</x:f>
        <x:v>144.69000000000003</x:v>
      </x:c>
      <x:c r="F8" s="559" t="n">
        <x:f>AVERAGE($B$9/B8,$C$9/C8,$D$9/D8)</x:f>
        <x:v>1.256650106303988</x:v>
      </x:c>
      <x:c r="G8" s="560" t="str">
        <x:v>Not adopted</x:v>
      </x:c>
    </x:row>
    <x:row r="9" ht="20" customHeight="1">
      <x:c r="A9" s="561" t="str">
        <x:v>DeepGEMM</x:v>
      </x:c>
      <x:c r="B9" s="562" t="n">
        <x:v>181.6</x:v>
      </x:c>
      <x:c r="C9" s="562" t="n">
        <x:v>181.72</x:v>
      </x:c>
      <x:c r="D9" s="562" t="n">
        <x:v>182.15</x:v>
      </x:c>
      <x:c r="E9" s="562" t="n">
        <x:f>AVERAGE(B9:D9)</x:f>
        <x:v>181.82333333333335</x:v>
      </x:c>
      <x:c r="F9" s="563" t="n">
        <x:v>1</x:v>
      </x:c>
      <x:c r="G9" s="564" t="str">
        <x:v>Dense baseline</x:v>
      </x:c>
    </x:row>
    <x:row r="10" ht="20" customHeight="1">
      <x:c r="A10" s="512"/>
      <x:c r="B10" s="513"/>
      <x:c r="C10" s="513"/>
      <x:c r="D10" s="513"/>
      <x:c r="E10" s="513"/>
      <x:c r="F10" s="513"/>
      <x:c r="G10" s="488"/>
    </x:row>
    <x:row r="11" ht="20" customHeight="1">
      <x:c r="A11" s="512"/>
      <x:c r="B11" s="513"/>
      <x:c r="C11" s="513"/>
      <x:c r="D11" s="513"/>
      <x:c r="E11" s="513"/>
      <x:c r="F11" s="513"/>
      <x:c r="G11" s="488"/>
    </x:row>
    <x:row r="12" ht="20" customHeight="1">
      <x:c r="A12" s="540" t="str">
        <x:v>Paired NCU Comparison at 4096 x 2048 x 1408</x:v>
      </x:c>
      <x:c r="B12" s="541"/>
      <x:c r="C12" s="541"/>
      <x:c r="D12" s="541"/>
      <x:c r="E12" s="541"/>
      <x:c r="F12" s="513"/>
      <x:c r="G12" s="488"/>
    </x:row>
    <x:row r="13" ht="30" customHeight="1">
      <x:c r="A13" s="534" t="str">
        <x:v>Metric</x:v>
      </x:c>
      <x:c r="B13" s="538" t="str">
        <x:v>Output 128x64</x:v>
      </x:c>
      <x:c r="C13" s="538" t="str">
        <x:v>Stage kind</x:v>
      </x:c>
      <x:c r="D13" s="538" t="str">
        <x:v>DeepGEMM</x:v>
      </x:c>
      <x:c r="E13" s="538" t="str">
        <x:v>Stage vs Output</x:v>
      </x:c>
      <x:c r="F13" s="513"/>
      <x:c r="G13" s="488"/>
    </x:row>
    <x:row r="14" ht="20" customHeight="1">
      <x:c r="A14" s="492" t="str">
        <x:v>NCU duration (us)</x:v>
      </x:c>
      <x:c r="B14" s="518" t="n">
        <x:v>171.168</x:v>
      </x:c>
      <x:c r="C14" s="518" t="n">
        <x:v>160.832</x:v>
      </x:c>
      <x:c r="D14" s="518" t="n">
        <x:v>201.504</x:v>
      </x:c>
      <x:c r="E14" s="551" t="n">
        <x:f>C14/B14-1</x:f>
        <x:v>-0.060385118713778385</x:v>
      </x:c>
      <x:c r="F14" s="513"/>
      <x:c r="G14" s="488"/>
    </x:row>
    <x:row r="15" ht="20" customHeight="1">
      <x:c r="A15" s="496" t="str">
        <x:v>SM throughput (% peak)</x:v>
      </x:c>
      <x:c r="B15" s="520" t="n">
        <x:v>79.016669</x:v>
      </x:c>
      <x:c r="C15" s="520" t="n">
        <x:v>83.466808</x:v>
      </x:c>
      <x:c r="D15" s="520" t="n">
        <x:v>92.852352</x:v>
      </x:c>
      <x:c r="E15" s="552" t="n">
        <x:f>C15/B15-1</x:f>
        <x:v>0.05631899011080832</x:v>
      </x:c>
      <x:c r="F15" s="513"/>
      <x:c r="G15" s="488"/>
    </x:row>
    <x:row r="16" ht="20" customHeight="1">
      <x:c r="A16" s="496" t="str">
        <x:v>Tensor pipe active (% elapsed)</x:v>
      </x:c>
      <x:c r="B16" s="520" t="n">
        <x:v>19.754167</x:v>
      </x:c>
      <x:c r="C16" s="520" t="n">
        <x:v>20.866702</x:v>
      </x:c>
      <x:c r="D16" s="520" t="n">
        <x:v>23.213088</x:v>
      </x:c>
      <x:c r="E16" s="552" t="n">
        <x:f>C16/B16-1</x:f>
        <x:v>0.056319003479114116</x:v>
      </x:c>
      <x:c r="F16" s="513"/>
      <x:c r="G16" s="488"/>
    </x:row>
    <x:row r="17" ht="20" customHeight="1">
      <x:c r="A17" s="496" t="str">
        <x:v>Global-load instructions</x:v>
      </x:c>
      <x:c r="B17" s="522" t="n">
        <x:v>112640</x:v>
      </x:c>
      <x:c r="C17" s="522" t="n">
        <x:v>22528</x:v>
      </x:c>
      <x:c r="D17" s="522" t="n">
        <x:v>0</x:v>
      </x:c>
      <x:c r="E17" s="552" t="n">
        <x:f>C17/B17-1</x:f>
        <x:v>-0.8</x:v>
      </x:c>
      <x:c r="F17" s="513"/>
      <x:c r="G17" s="488"/>
    </x:row>
    <x:row r="18" ht="20" customHeight="1">
      <x:c r="A18" s="496" t="str">
        <x:v>Shared-load instructions</x:v>
      </x:c>
      <x:c r="B18" s="522" t="n">
        <x:v>180224</x:v>
      </x:c>
      <x:c r="C18" s="522" t="n">
        <x:v>360448</x:v>
      </x:c>
      <x:c r="D18" s="522" t="n">
        <x:v>0</x:v>
      </x:c>
      <x:c r="E18" s="552" t="n">
        <x:f>C18/B18-1</x:f>
        <x:v>1</x:v>
      </x:c>
      <x:c r="F18" s="513"/>
      <x:c r="G18" s="488"/>
    </x:row>
    <x:row r="19" ht="20" customHeight="1">
      <x:c r="A19" s="496" t="str">
        <x:v>Executed instructions</x:v>
      </x:c>
      <x:c r="B19" s="522" t="n">
        <x:v>19758052</x:v>
      </x:c>
      <x:c r="C19" s="522" t="n">
        <x:v>18422500</x:v>
      </x:c>
      <x:c r="D19" s="522" t="n">
        <x:v>3460690</x:v>
      </x:c>
      <x:c r="E19" s="552" t="n">
        <x:f>C19/B19-1</x:f>
        <x:v>-0.06759532771753007</x:v>
      </x:c>
      <x:c r="F19" s="513"/>
      <x:c r="G19" s="488"/>
    </x:row>
    <x:row r="20" ht="20" customHeight="1">
      <x:c r="A20" s="496" t="str">
        <x:v>Barrier stall (cycles / inst)</x:v>
      </x:c>
      <x:c r="B20" s="520" t="n">
        <x:v>11.560631</x:v>
      </x:c>
      <x:c r="C20" s="520" t="n">
        <x:v>7.831359</x:v>
      </x:c>
      <x:c r="D20" s="520" t="n">
        <x:v>44.203692</x:v>
      </x:c>
      <x:c r="E20" s="552" t="n">
        <x:f>C20/B20-1</x:f>
        <x:v>-0.32258377592018983</x:v>
      </x:c>
      <x:c r="F20" s="513"/>
      <x:c r="G20" s="488"/>
    </x:row>
    <x:row r="21" ht="20" customHeight="1">
      <x:c r="A21" s="496" t="str">
        <x:v>Long scoreboard (cycles / inst)</x:v>
      </x:c>
      <x:c r="B21" s="520" t="n">
        <x:v>0.922514</x:v>
      </x:c>
      <x:c r="C21" s="520" t="n">
        <x:v>1.159809</x:v>
      </x:c>
      <x:c r="D21" s="520" t="n">
        <x:v>7.893343</x:v>
      </x:c>
      <x:c r="E21" s="552" t="n">
        <x:f>C21/B21-1</x:f>
        <x:v>0.25722644859590216</x:v>
      </x:c>
      <x:c r="F21" s="513"/>
      <x:c r="G21" s="488"/>
    </x:row>
    <x:row r="22" ht="20" customHeight="1">
      <x:c r="A22" s="512"/>
      <x:c r="B22" s="488"/>
      <x:c r="C22" s="488"/>
      <x:c r="D22" s="488"/>
      <x:c r="E22" s="488"/>
      <x:c r="F22" s="488"/>
      <x:c r="G22" s="488"/>
    </x:row>
    <x:row r="23" ht="20" customHeight="1">
      <x:c r="A23" s="512"/>
      <x:c r="B23" s="488"/>
      <x:c r="C23" s="488"/>
      <x:c r="D23" s="488"/>
      <x:c r="E23" s="488"/>
      <x:c r="F23" s="488"/>
      <x:c r="G23" s="488"/>
    </x:row>
    <x:row r="24" ht="20" customHeight="1">
      <x:c r="A24" s="540" t="str">
        <x:v>Current-Best Kernel Configuration</x:v>
      </x:c>
      <x:c r="B24" s="542"/>
      <x:c r="C24" s="542"/>
      <x:c r="D24" s="542"/>
      <x:c r="E24" s="542"/>
      <x:c r="F24" s="488"/>
      <x:c r="G24" s="488"/>
    </x:row>
    <x:row r="25" ht="20" customHeight="1">
      <x:c r="A25" s="565" t="str">
        <x:v>Weight block / weight tile</x:v>
      </x:c>
      <x:c r="B25" s="543" t="str">
        <x:v>64 x 64</x:v>
      </x:c>
      <x:c r="C25" s="488"/>
      <x:c r="D25" s="488"/>
      <x:c r="E25" s="488"/>
      <x:c r="F25" s="488"/>
      <x:c r="G25" s="488"/>
    </x:row>
    <x:row r="26" ht="20" customHeight="1">
      <x:c r="A26" s="566" t="str">
        <x:v>Output tile</x:v>
      </x:c>
      <x:c r="B26" s="544" t="str">
        <x:v>128 x 64</x:v>
      </x:c>
      <x:c r="C26" s="488"/>
      <x:c r="D26" s="488"/>
      <x:c r="E26" s="488"/>
      <x:c r="F26" s="488"/>
      <x:c r="G26" s="488"/>
    </x:row>
    <x:row r="27" ht="20" customHeight="1">
      <x:c r="A27" s="566" t="str">
        <x:v>Math warpgroup</x:v>
      </x:c>
      <x:c r="B27" s="544" t="str">
        <x:v>2</x:v>
      </x:c>
      <x:c r="C27" s="488"/>
      <x:c r="D27" s="488"/>
      <x:c r="E27" s="488"/>
      <x:c r="F27" s="488"/>
      <x:c r="G27" s="488"/>
    </x:row>
    <x:row r="28" ht="20" customHeight="1">
      <x:c r="A28" s="566" t="str">
        <x:v>Threads / CTA</x:v>
      </x:c>
      <x:c r="B28" s="544" t="str">
        <x:v>384</x:v>
      </x:c>
      <x:c r="C28" s="488"/>
      <x:c r="D28" s="488"/>
      <x:c r="E28" s="488"/>
      <x:c r="F28" s="488"/>
      <x:c r="G28" s="488"/>
    </x:row>
    <x:row r="29" ht="20" customHeight="1">
      <x:c r="A29" s="566" t="str">
        <x:v>TMA pipeline stages</x:v>
      </x:c>
      <x:c r="B29" s="544" t="str">
        <x:v>3</x:v>
      </x:c>
      <x:c r="C29" s="488"/>
      <x:c r="D29" s="488"/>
      <x:c r="E29" s="488"/>
      <x:c r="F29" s="488"/>
      <x:c r="G29" s="488"/>
    </x:row>
    <x:row r="30" ht="20" customHeight="1">
      <x:c r="A30" s="566" t="str">
        <x:v>Persistent occupancy target</x:v>
      </x:c>
      <x:c r="B30" s="544" t="str">
        <x:v>2 CTA / SM</x:v>
      </x:c>
      <x:c r="C30" s="488"/>
      <x:c r="D30" s="488"/>
      <x:c r="E30" s="488"/>
      <x:c r="F30" s="488"/>
      <x:c r="G30" s="488"/>
    </x:row>
    <x:row r="31" ht="20" customHeight="1">
      <x:c r="A31" s="512"/>
      <x:c r="B31" s="488"/>
      <x:c r="C31" s="488"/>
      <x:c r="D31" s="488"/>
      <x:c r="E31" s="488"/>
      <x:c r="F31" s="488"/>
      <x:c r="G31" s="488"/>
    </x:row>
    <x:row r="32" ht="42" customHeight="1">
      <x:c r="A32" s="567" t="str">
        <x:v>Result: stage-kind reached 1.261x, 1.259x, and 1.262x over DeepGEMM in three paired 100-iteration runs. The broader shape sweep showed scheduling noise, so only the repeated target result is treated as verified.</x:v>
      </x:c>
      <x:c r="B32" s="568"/>
      <x:c r="C32" s="568"/>
      <x:c r="D32" s="568"/>
      <x:c r="E32" s="568"/>
      <x:c r="F32" s="568"/>
      <x:c r="G32" s="568"/>
    </x:row>
  </x:sheetData>
  <x:mergeCells>
    <x:mergeCell ref="A1:G1"/>
    <x:mergeCell ref="A2:G2"/>
    <x:mergeCell ref="A12:E12"/>
    <x:mergeCell ref="A24:E24"/>
    <x:mergeCell ref="A32:G3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13" hidden="0" customWidth="1"/>
    <x:col min="6" max="6" width="13" hidden="0" customWidth="1"/>
  </x:cols>
  <x:sheetData>
    <x:row r="1" ht="28" customHeight="1">
      <x:c r="A1" s="532" t="str">
        <x:v>Current-Best Kernel: All Specified Shapes</x:v>
      </x:c>
      <x:c r="B1" s="532"/>
      <x:c r="C1" s="532"/>
      <x:c r="D1" s="532"/>
      <x:c r="E1" s="532"/>
      <x:c r="F1" s="532"/>
    </x:row>
    <x:row r="2" ht="22" customHeight="1">
      <x:c r="A2" s="533" t="str">
        <x:v>NVIDIA H20 | BF16 input/output | FP32 accumulation | no L2 flush | stage-kind kernel vs DeepGEMM</x:v>
      </x:c>
      <x:c r="B2" s="533"/>
      <x:c r="C2" s="533"/>
      <x:c r="D2" s="533"/>
      <x:c r="E2" s="533"/>
      <x:c r="F2" s="533"/>
    </x:row>
    <x:row r="3">
      <x:c r="A3" s="488"/>
      <x:c r="B3" s="488"/>
      <x:c r="C3" s="488"/>
      <x:c r="D3" s="488"/>
      <x:c r="E3" s="488"/>
      <x:c r="F3" s="488"/>
    </x:row>
    <x:row r="4" ht="30" customHeight="1">
      <x:c r="A4" s="614" t="str">
        <x:v>Shape (M x N x K)</x:v>
      </x:c>
      <x:c r="B4" s="614" t="str">
        <x:v>Hybrid median (us)</x:v>
      </x:c>
      <x:c r="C4" s="614" t="str">
        <x:v>DeepGEMM median (us)</x:v>
      </x:c>
      <x:c r="D4" s="614" t="str">
        <x:v>Paired speedup median</x:v>
      </x:c>
      <x:c r="E4" s="614" t="str">
        <x:v>Repeats</x:v>
      </x:c>
      <x:c r="F4" s="614" t="str">
        <x:v>Result</x:v>
      </x:c>
    </x:row>
    <x:row r="5">
      <x:c r="A5" s="615" t="str">
        <x:v>128 x 1408 x 2048</x:v>
      </x:c>
      <x:c r="B5" s="518" t="n">
        <x:v>18.288</x:v>
      </x:c>
      <x:c r="C5" s="518" t="n">
        <x:v>10.374</x:v>
      </x:c>
      <x:c r="D5" s="494" t="n">
        <x:v>0.54395</x:v>
      </x:c>
      <x:c r="E5" s="616" t="n">
        <x:v>3</x:v>
      </x:c>
      <x:c r="F5" s="495" t="str">
        <x:f>IF(D5&gt;=1,"Faster","Slower")</x:f>
        <x:v>Slower</x:v>
      </x:c>
    </x:row>
    <x:row r="6">
      <x:c r="A6" s="617" t="str">
        <x:v>128 x 2048 x 1408</x:v>
      </x:c>
      <x:c r="B6" s="520" t="n">
        <x:v>13.804</x:v>
      </x:c>
      <x:c r="C6" s="520" t="n">
        <x:v>8.588</x:v>
      </x:c>
      <x:c r="D6" s="498" t="n">
        <x:v>0.65502</x:v>
      </x:c>
      <x:c r="E6" s="618" t="n">
        <x:v>3</x:v>
      </x:c>
      <x:c r="F6" s="499" t="str">
        <x:f>IF(D6&gt;=1,"Faster","Slower")</x:f>
        <x:v>Slower</x:v>
      </x:c>
    </x:row>
    <x:row r="7">
      <x:c r="A7" s="617" t="str">
        <x:v>256 x 1408 x 2048</x:v>
      </x:c>
      <x:c r="B7" s="520" t="n">
        <x:v>18.318</x:v>
      </x:c>
      <x:c r="C7" s="520" t="n">
        <x:v>14.534</x:v>
      </x:c>
      <x:c r="D7" s="498" t="n">
        <x:v>0.781972</x:v>
      </x:c>
      <x:c r="E7" s="618" t="n">
        <x:v>3</x:v>
      </x:c>
      <x:c r="F7" s="499" t="str">
        <x:f>IF(D7&gt;=1,"Faster","Slower")</x:f>
        <x:v>Slower</x:v>
      </x:c>
    </x:row>
    <x:row r="8">
      <x:c r="A8" s="617" t="str">
        <x:v>256 x 2048 x 1408</x:v>
      </x:c>
      <x:c r="B8" s="520" t="n">
        <x:v>13.613</x:v>
      </x:c>
      <x:c r="C8" s="520" t="n">
        <x:v>13.489</x:v>
      </x:c>
      <x:c r="D8" s="498" t="n">
        <x:v>1.005102</x:v>
      </x:c>
      <x:c r="E8" s="618" t="n">
        <x:v>3</x:v>
      </x:c>
      <x:c r="F8" s="499" t="str">
        <x:f>IF(D8&gt;=1,"Faster","Slower")</x:f>
        <x:v>Faster</x:v>
      </x:c>
    </x:row>
    <x:row r="9">
      <x:c r="A9" s="617" t="str">
        <x:v>512 x 1408 x 2048</x:v>
      </x:c>
      <x:c r="B9" s="520" t="n">
        <x:v>57.813</x:v>
      </x:c>
      <x:c r="C9" s="520" t="n">
        <x:v>50.62</x:v>
      </x:c>
      <x:c r="D9" s="498" t="n">
        <x:v>0.869215</x:v>
      </x:c>
      <x:c r="E9" s="618" t="n">
        <x:v>7</x:v>
      </x:c>
      <x:c r="F9" s="499" t="str">
        <x:f>IF(D9&gt;=1,"Faster","Slower")</x:f>
        <x:v>Slower</x:v>
      </x:c>
    </x:row>
    <x:row r="10">
      <x:c r="A10" s="617" t="str">
        <x:v>512 x 2048 x 1408</x:v>
      </x:c>
      <x:c r="B10" s="520" t="n">
        <x:v>47.783</x:v>
      </x:c>
      <x:c r="C10" s="520" t="n">
        <x:v>49.467</x:v>
      </x:c>
      <x:c r="D10" s="498" t="n">
        <x:v>1.037029</x:v>
      </x:c>
      <x:c r="E10" s="618" t="n">
        <x:v>7</x:v>
      </x:c>
      <x:c r="F10" s="499" t="str">
        <x:f>IF(D10&gt;=1,"Faster","Slower")</x:f>
        <x:v>Faster</x:v>
      </x:c>
    </x:row>
    <x:row r="11">
      <x:c r="A11" s="617" t="str">
        <x:v>1024 x 1408 x 2048</x:v>
      </x:c>
      <x:c r="B11" s="520" t="n">
        <x:v>96.664</x:v>
      </x:c>
      <x:c r="C11" s="520" t="n">
        <x:v>99.172</x:v>
      </x:c>
      <x:c r="D11" s="498" t="n">
        <x:v>1.018104</x:v>
      </x:c>
      <x:c r="E11" s="618" t="n">
        <x:v>7</x:v>
      </x:c>
      <x:c r="F11" s="499" t="str">
        <x:f>IF(D11&gt;=1,"Faster","Slower")</x:f>
        <x:v>Faster</x:v>
      </x:c>
    </x:row>
    <x:row r="12">
      <x:c r="A12" s="617" t="str">
        <x:v>1024 x 2048 x 1408</x:v>
      </x:c>
      <x:c r="B12" s="520" t="n">
        <x:v>92.811</x:v>
      </x:c>
      <x:c r="C12" s="520" t="n">
        <x:v>97.045</x:v>
      </x:c>
      <x:c r="D12" s="498" t="n">
        <x:v>1.046104</x:v>
      </x:c>
      <x:c r="E12" s="618" t="n">
        <x:v>7</x:v>
      </x:c>
      <x:c r="F12" s="499" t="str">
        <x:f>IF(D12&gt;=1,"Faster","Slower")</x:f>
        <x:v>Faster</x:v>
      </x:c>
    </x:row>
    <x:row r="13">
      <x:c r="A13" s="617" t="str">
        <x:v>2048 x 1408 x 2048</x:v>
      </x:c>
      <x:c r="B13" s="520" t="n">
        <x:v>151.47</x:v>
      </x:c>
      <x:c r="C13" s="520" t="n">
        <x:v>194.308</x:v>
      </x:c>
      <x:c r="D13" s="498" t="n">
        <x:v>1.281488</x:v>
      </x:c>
      <x:c r="E13" s="618" t="n">
        <x:v>3</x:v>
      </x:c>
      <x:c r="F13" s="499" t="str">
        <x:f>IF(D13&gt;=1,"Faster","Slower")</x:f>
        <x:v>Faster</x:v>
      </x:c>
    </x:row>
    <x:row r="14">
      <x:c r="A14" s="617" t="str">
        <x:v>2048 x 2048 x 1408</x:v>
      </x:c>
      <x:c r="B14" s="520" t="n">
        <x:v>74.663</x:v>
      </x:c>
      <x:c r="C14" s="520" t="n">
        <x:v>93.136</x:v>
      </x:c>
      <x:c r="D14" s="498" t="n">
        <x:v>1.245302</x:v>
      </x:c>
      <x:c r="E14" s="618" t="n">
        <x:v>3</x:v>
      </x:c>
      <x:c r="F14" s="499" t="str">
        <x:f>IF(D14&gt;=1,"Faster","Slower")</x:f>
        <x:v>Faster</x:v>
      </x:c>
    </x:row>
    <x:row r="15">
      <x:c r="A15" s="617" t="str">
        <x:v>4096 x 1408 x 2048</x:v>
      </x:c>
      <x:c r="B15" s="520" t="n">
        <x:v>149.449</x:v>
      </x:c>
      <x:c r="C15" s="520" t="n">
        <x:v>184.406</x:v>
      </x:c>
      <x:c r="D15" s="498" t="n">
        <x:v>1.224565</x:v>
      </x:c>
      <x:c r="E15" s="618" t="n">
        <x:v>3</x:v>
      </x:c>
      <x:c r="F15" s="499" t="str">
        <x:f>IF(D15&gt;=1,"Faster","Slower")</x:f>
        <x:v>Faster</x:v>
      </x:c>
    </x:row>
    <x:row r="16">
      <x:c r="A16" s="619" t="str">
        <x:v>4096 x 2048 x 1408</x:v>
      </x:c>
      <x:c r="B16" s="524" t="n">
        <x:v>144.589</x:v>
      </x:c>
      <x:c r="C16" s="524" t="n">
        <x:v>181.909</x:v>
      </x:c>
      <x:c r="D16" s="620" t="n">
        <x:v>1.25736</x:v>
      </x:c>
      <x:c r="E16" s="621" t="n">
        <x:v>3</x:v>
      </x:c>
      <x:c r="F16" s="529" t="str">
        <x:f>IF(D16&gt;=1,"Faster","Slower")</x:f>
        <x:v>Faster</x:v>
      </x:c>
    </x:row>
    <x:row r="17">
      <x:c r="A17" s="488"/>
      <x:c r="B17" s="488"/>
      <x:c r="C17" s="488"/>
      <x:c r="D17" s="488"/>
      <x:c r="E17" s="488"/>
      <x:c r="F17" s="488"/>
    </x:row>
    <x:row r="18">
      <x:c r="A18" s="488"/>
      <x:c r="B18" s="488"/>
      <x:c r="C18" s="488"/>
      <x:c r="D18" s="488"/>
      <x:c r="E18" s="488"/>
      <x:c r="F18" s="488"/>
    </x:row>
    <x:row r="19" ht="23" customHeight="1">
      <x:c r="A19" s="542" t="str">
        <x:v>Summary</x:v>
      </x:c>
      <x:c r="B19" s="542"/>
      <x:c r="C19" s="542"/>
      <x:c r="D19" s="542"/>
      <x:c r="E19" s="488"/>
      <x:c r="F19" s="488"/>
    </x:row>
    <x:row r="20">
      <x:c r="A20" s="622" t="str">
        <x:v>Shapes faster than DeepGEMM</x:v>
      </x:c>
      <x:c r="B20" s="495" t="n">
        <x:f>COUNTIF(D5:D16,"&gt;=1")</x:f>
        <x:v>8</x:v>
      </x:c>
      <x:c r="C20" s="488"/>
      <x:c r="D20" s="488"/>
      <x:c r="E20" s="488"/>
      <x:c r="F20" s="488"/>
    </x:row>
    <x:row r="21">
      <x:c r="A21" s="623" t="str">
        <x:v>Shapes reaching at least 1.25x</x:v>
      </x:c>
      <x:c r="B21" s="499" t="n">
        <x:f>COUNTIF(D5:D16,"&gt;=1.25")</x:f>
        <x:v>2</x:v>
      </x:c>
      <x:c r="C21" s="488"/>
      <x:c r="D21" s="488"/>
      <x:c r="E21" s="488"/>
      <x:c r="F21" s="488"/>
    </x:row>
    <x:row r="22">
      <x:c r="A22" s="623" t="str">
        <x:v>Best shape</x:v>
      </x:c>
      <x:c r="B22" s="499" t="str">
        <x:v>2048 x 1408 x 2048</x:v>
      </x:c>
      <x:c r="C22" s="488"/>
      <x:c r="D22" s="488"/>
      <x:c r="E22" s="488"/>
      <x:c r="F22" s="488"/>
    </x:row>
    <x:row r="23">
      <x:c r="A23" s="624" t="str">
        <x:v>Best median speedup</x:v>
      </x:c>
      <x:c r="B23" s="625" t="n">
        <x:v>1.281488</x:v>
      </x:c>
      <x:c r="C23" s="488"/>
      <x:c r="D23" s="488"/>
      <x:c r="E23" s="488"/>
      <x:c r="F23" s="488"/>
    </x:row>
    <x:row r="24">
      <x:c r="A24" s="488"/>
      <x:c r="B24" s="488"/>
      <x:c r="C24" s="488"/>
      <x:c r="D24" s="488"/>
      <x:c r="E24" s="488"/>
      <x:c r="F24" s="488"/>
    </x:row>
    <x:row r="25" ht="48" customHeight="1">
      <x:c r="A25" s="568" t="str">
        <x:v>Interpretation: the 128 x 64 output tile is not suitable for every shape. It loses at small M, reaches parity around M=256-1024 depending on N/K, and provides the strongest gains at M&gt;=2048. M=512 and M=1024 use seven repeats because the initial sweep contained scheduling outliers.</x:v>
      </x:c>
      <x:c r="B25" s="568"/>
      <x:c r="C25" s="568"/>
      <x:c r="D25" s="568"/>
      <x:c r="E25" s="568"/>
      <x:c r="F25" s="568"/>
    </x:row>
  </x:sheetData>
  <x:mergeCells>
    <x:mergeCell ref="A1:F1"/>
    <x:mergeCell ref="A2:F2"/>
    <x:mergeCell ref="A19:D19"/>
    <x:mergeCell ref="A25:F25"/>
  </x:mergeCells>
  <x:conditionalFormatting sqref="D5:D16">
    <x:cfRule type="cellIs" dxfId="3" priority="1" operator="greaterThanOrEqual">
      <x:formula>1</x:formula>
    </x:cfRule>
    <x:cfRule type="cellIs" dxfId="4" priority="2" operator="lessThan">
      <x:formula>1</x:formula>
    </x:cfRule>
  </x:conditionalFormatting>
  <x:conditionalFormatting sqref="F5:F16">
    <x:cfRule type="containsText" dxfId="5" priority="3" operator="containsText" text="Faster"/>
    <x:cfRule type="containsText" dxfId="6" priority="4" operator="containsText" text="Slower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1" hidden="0" customWidth="1"/>
    <x:col min="3" max="3" width="21" hidden="0" customWidth="1"/>
    <x:col min="4" max="4" width="14" hidden="0" customWidth="1"/>
    <x:col min="5" max="5" width="10" hidden="0" customWidth="1"/>
    <x:col min="6" max="6" width="38" hidden="0" customWidth="1"/>
  </x:cols>
  <x:sheetData>
    <x:row r="1" ht="34" customHeight="1">
      <x:c r="A1" s="628" t="str">
        <x:v>Tuned Hybrid Sparse Dispatch</x:v>
      </x:c>
      <x:c r="B1" s="628"/>
      <x:c r="C1" s="628"/>
      <x:c r="D1" s="628"/>
      <x:c r="E1" s="628"/>
      <x:c r="F1" s="628"/>
    </x:row>
    <x:row r="2" ht="24" customHeight="1">
      <x:c r="A2" s="631" t="str">
        <x:v>NVIDIA H20 | BF16 input/output | FP32 accumulation | 25% hybrid sparsity | 7 paired repeats x 300 | commit 0cccd83</x:v>
      </x:c>
      <x:c r="B2" s="631"/>
      <x:c r="C2" s="631"/>
      <x:c r="D2" s="631"/>
      <x:c r="E2" s="631"/>
      <x:c r="F2" s="631"/>
    </x:row>
    <x:row r="4" ht="34" customHeight="1">
      <x:c r="A4" s="636" t="str">
        <x:v>Shape (M x N x K)</x:v>
      </x:c>
      <x:c r="B4" s="636" t="str">
        <x:v>Tuned median (us)</x:v>
      </x:c>
      <x:c r="C4" s="636" t="str">
        <x:v>DeepGEMM median (us)</x:v>
      </x:c>
      <x:c r="D4" s="636" t="str">
        <x:v>Speedup</x:v>
      </x:c>
      <x:c r="E4" s="636" t="str">
        <x:v>Repeats</x:v>
      </x:c>
      <x:c r="F4" s="636" t="str">
        <x:v>Selected kernel</x:v>
      </x:c>
    </x:row>
    <x:row r="5" ht="24" customHeight="1">
      <x:c r="A5" s="641" t="str">
        <x:v>128 x 1408 x 2048</x:v>
      </x:c>
      <x:c r="B5" s="647" t="n">
        <x:v>8.871</x:v>
      </x:c>
      <x:c r="C5" s="647" t="n">
        <x:v>9.512</x:v>
      </x:c>
      <x:c r="D5" s="650" t="n">
        <x:f>C5/B5</x:f>
        <x:v>1.0722579190621124</x:v>
      </x:c>
      <x:c r="E5" s="653" t="n">
        <x:v>7</x:v>
      </x:c>
      <x:c r="F5" s="641" t="str">
        <x:v>output48 descriptor reuse</x:v>
      </x:c>
    </x:row>
    <x:row r="6" ht="24" customHeight="1">
      <x:c r="A6" s="642" t="str">
        <x:v>128 x 2048 x 1408</x:v>
      </x:c>
      <x:c r="B6" s="648" t="n">
        <x:v>7.272</x:v>
      </x:c>
      <x:c r="C6" s="648" t="n">
        <x:v>8.535</x:v>
      </x:c>
      <x:c r="D6" s="651" t="n">
        <x:f>C6/B6</x:f>
        <x:v>1.1736798679867986</x:v>
      </x:c>
      <x:c r="E6" s="654" t="n">
        <x:v>7</x:v>
      </x:c>
      <x:c r="F6" s="642" t="str">
        <x:v>output64 constexpr branch group</x:v>
      </x:c>
    </x:row>
    <x:row r="7" ht="24" customHeight="1">
      <x:c r="A7" s="642" t="str">
        <x:v>256 x 1408 x 2048</x:v>
      </x:c>
      <x:c r="B7" s="648" t="n">
        <x:v>12.549</x:v>
      </x:c>
      <x:c r="C7" s="648" t="n">
        <x:v>13.763000000000002</x:v>
      </x:c>
      <x:c r="D7" s="651" t="n">
        <x:f>C7/B7</x:f>
        <x:v>1.096740776157463</x:v>
      </x:c>
      <x:c r="E7" s="654" t="n">
        <x:v>7</x:v>
      </x:c>
      <x:c r="F7" s="642" t="str">
        <x:v>output88 group-stage descriptor reuse</x:v>
      </x:c>
    </x:row>
    <x:row r="8" ht="24" customHeight="1">
      <x:c r="A8" s="642" t="str">
        <x:v>256 x 2048 x 1408</x:v>
      </x:c>
      <x:c r="B8" s="648" t="n">
        <x:v>11.776</x:v>
      </x:c>
      <x:c r="C8" s="648" t="n">
        <x:v>13.205999999999998</x:v>
      </x:c>
      <x:c r="D8" s="651" t="n">
        <x:f>C8/B8</x:f>
        <x:v>1.1214334239130432</x:v>
      </x:c>
      <x:c r="E8" s="654" t="n">
        <x:v>7</x:v>
      </x:c>
      <x:c r="F8" s="642" t="str">
        <x:v>output128 fixed-shape stage4 async group2</x:v>
      </x:c>
    </x:row>
    <x:row r="9" ht="24" customHeight="1">
      <x:c r="A9" s="642" t="str">
        <x:v>512 x 1408 x 2048</x:v>
      </x:c>
      <x:c r="B9" s="648" t="n">
        <x:v>21.892</x:v>
      </x:c>
      <x:c r="C9" s="648" t="n">
        <x:v>25.207</x:v>
      </x:c>
      <x:c r="D9" s="651" t="n">
        <x:f>C9/B9</x:f>
        <x:v>1.1514251781472684</x:v>
      </x:c>
      <x:c r="E9" s="654" t="n">
        <x:v>7</x:v>
      </x:c>
      <x:c r="F9" s="642" t="str">
        <x:v>output80 group-stage descriptor reuse</x:v>
      </x:c>
    </x:row>
    <x:row r="10" ht="24" customHeight="1">
      <x:c r="A10" s="642" t="str">
        <x:v>512 x 2048 x 1408</x:v>
      </x:c>
      <x:c r="B10" s="648" t="n">
        <x:v>22.87</x:v>
      </x:c>
      <x:c r="C10" s="648" t="n">
        <x:v>24.546</x:v>
      </x:c>
      <x:c r="D10" s="651" t="n">
        <x:f>C10/B10</x:f>
        <x:v>1.0732837778749453</x:v>
      </x:c>
      <x:c r="E10" s="654" t="n">
        <x:v>7</x:v>
      </x:c>
      <x:c r="F10" s="642" t="str">
        <x:v>output128 group-stage descriptor reuse</x:v>
      </x:c>
    </x:row>
    <x:row r="11" ht="24" customHeight="1">
      <x:c r="A11" s="642" t="str">
        <x:v>1024 x 1408 x 2048</x:v>
      </x:c>
      <x:c r="B11" s="648" t="n">
        <x:v>41.945</x:v>
      </x:c>
      <x:c r="C11" s="648" t="n">
        <x:v>48.463</x:v>
      </x:c>
      <x:c r="D11" s="651" t="n">
        <x:f>C11/B11</x:f>
        <x:v>1.1553939682918106</x:v>
      </x:c>
      <x:c r="E11" s="654" t="n">
        <x:v>7</x:v>
      </x:c>
      <x:c r="F11" s="642" t="str">
        <x:v>output80 group-stage descriptor reuse</x:v>
      </x:c>
    </x:row>
    <x:row r="12" ht="24" customHeight="1">
      <x:c r="A12" s="643" t="str">
        <x:v>1024 x 2048 x 1408</x:v>
      </x:c>
      <x:c r="B12" s="649" t="n">
        <x:v>43.411</x:v>
      </x:c>
      <x:c r="C12" s="649" t="n">
        <x:v>47.295</x:v>
      </x:c>
      <x:c r="D12" s="652" t="n">
        <x:f>C12/B12</x:f>
        <x:v>1.089470410725392</x:v>
      </x:c>
      <x:c r="E12" s="655" t="n">
        <x:v>7</x:v>
      </x:c>
      <x:c r="F12" s="643" t="str">
        <x:v>output96 baseline group-stage</x:v>
      </x:c>
    </x:row>
    <x:row r="15" ht="24" customHeight="1">
      <x:c r="A15" s="656" t="str">
        <x:v>Summary</x:v>
      </x:c>
      <x:c r="B15" s="656"/>
    </x:row>
    <x:row r="16">
      <x:c r="A16" s="658" t="str">
        <x:v>Shapes faster than DeepGEMM</x:v>
      </x:c>
      <x:c r="B16" s="661" t="n">
        <x:f>COUNTIF(D5:D12,"&gt;1")</x:f>
        <x:v>8</x:v>
      </x:c>
    </x:row>
    <x:row r="17">
      <x:c r="A17" s="658" t="str">
        <x:v>Best speedup</x:v>
      </x:c>
      <x:c r="B17" s="662" t="n">
        <x:f>MAX(D5:D12)</x:f>
        <x:v>1.1736798679867986</x:v>
      </x:c>
    </x:row>
    <x:row r="18">
      <x:c r="A18" s="658" t="str">
        <x:v>Slowest tuned latency</x:v>
      </x:c>
      <x:c r="B18" s="663" t="n">
        <x:f>MAX(B5:B12)</x:f>
        <x:v>43.411</x:v>
      </x:c>
    </x:row>
    <x:row r="21" ht="34" customHeight="1">
      <x:c r="A21" s="666" t="str">
        <x:v>Speedup is DeepGEMM latency divided by tuned total latency. Values above 1.0x mean the hybrid sparse kernel is faster.</x:v>
      </x:c>
      <x:c r="B21" s="666"/>
      <x:c r="C21" s="666"/>
      <x:c r="D21" s="666"/>
      <x:c r="E21" s="666"/>
      <x:c r="F21" s="666"/>
    </x:row>
  </x:sheetData>
  <x:mergeCells>
    <x:mergeCell ref="A1:F1"/>
    <x:mergeCell ref="A2:F2"/>
    <x:mergeCell ref="A15:B15"/>
    <x:mergeCell ref="A21:F21"/>
  </x:mergeCells>
  <x:conditionalFormatting sqref="D5:D12">
    <x:cfRule type="cellIs" dxfId="7" priority="1" operator="greaterThanOrEqual">
      <x:formula>1</x:formula>
    </x:cfRule>
    <x:cfRule type="cellIs" dxfId="8" priority="2" operator="lessThan">
      <x:formula>1</x:formula>
    </x:cfRule>
  </x:conditionalFormatting>
  <x:pageMargins left="0.7" right="0.7" top="0.75" bottom="0.75" header="0.3" footer="0.3"/>
</x:worksheet>
</file>