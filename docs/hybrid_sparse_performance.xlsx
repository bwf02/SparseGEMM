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d01b66931341b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erformance" sheetId="1" r:id="R96df9866cc324aa9"/>
    <x:sheet xmlns:r="http://schemas.openxmlformats.org/officeDocument/2006/relationships" name="Accuracy" sheetId="2" r:id="Rb44229c2d6864b12"/>
    <x:sheet xmlns:r="http://schemas.openxmlformats.org/officeDocument/2006/relationships" name="Persistent LaneReady" sheetId="3" r:id="R9288c611de1d4fc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.00"/>
    <x:numFmt numFmtId="201" formatCode="0.000x"/>
    <x:numFmt numFmtId="202" formatCode="0%"/>
    <x:numFmt numFmtId="203" formatCode="0.0000"/>
    <x:numFmt numFmtId="204" formatCode="0.00%"/>
    <x:numFmt numFmtId="205" formatCode="0.00 &quot;pp&quot;"/>
    <x:numFmt numFmtId="206" formatCode="0.000"/>
    <x:numFmt numFmtId="207" formatCode="0.0%"/>
  </x:numFmts>
  <x:fonts count="12">
    <x:font>
      <x:sz val="11"/>
      <x:name val="Carlito"/>
    </x:font>
    <x:font>
      <x:b/>
      <x:sz val="18"/>
      <x:color rgb="FFFFFFFF"/>
      <x:name val="Carlito"/>
    </x:font>
    <x:font>
      <x:sz val="10"/>
      <x:color rgb="FF0C4A6E"/>
      <x:name val="Carlito"/>
    </x:font>
    <x:font>
      <x:b/>
      <x:sz val="10"/>
      <x:color rgb="FFFFFFFF"/>
      <x:name val="Carlito"/>
    </x:font>
    <x:font>
      <x:sz val="10"/>
      <x:color rgb="FF172033"/>
      <x:name val="Carlito"/>
    </x:font>
    <x:font>
      <x:i/>
      <x:sz val="9"/>
      <x:color rgb="FF475569"/>
      <x:name val="Carlito"/>
    </x:font>
    <x:font>
      <x:b/>
      <x:sz val="10"/>
      <x:color rgb="FF1E3A5F"/>
      <x:name val="Carlito"/>
    </x:font>
    <x:font>
      <x:b/>
      <x:sz val="22"/>
      <x:color rgb="FFFFFFFF"/>
      <x:name val="Carlito"/>
    </x:font>
    <x:font>
      <x:sz val="11"/>
      <x:color rgb="FF0B4F7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i/>
      <x:sz val="10"/>
      <x:color rgb="FF4B5C75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172554"/>
      </x:patternFill>
    </x:fill>
    <x:fill>
      <x:patternFill patternType="solid">
        <x:fgColor rgb="FFE0F2FE"/>
      </x:patternFill>
    </x:fill>
    <x:fill>
      <x:patternFill patternType="solid">
        <x:fgColor rgb="FF1E3A5F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EFF6FF"/>
      </x:patternFill>
    </x:fill>
    <x:fill>
      <x:patternFill patternType="solid">
        <x:fgColor rgb="FF1B2D5C"/>
      </x:patternFill>
    </x:fill>
    <x:fill>
      <x:patternFill patternType="solid">
        <x:fgColor rgb="FFD9EDF9"/>
      </x:patternFill>
    </x:fill>
    <x:fill>
      <x:patternFill patternType="solid">
        <x:fgColor rgb="FF24466F"/>
      </x:patternFill>
    </x:fill>
    <x:fill>
      <x:patternFill patternType="solid">
        <x:fgColor rgb="FFF4F7FB"/>
      </x:patternFill>
    </x:fill>
  </x:fills>
  <x:borders count="17">
    <x:border/>
    <x:border>
      <x:left style="thin">
        <x:color rgb="FF1E3A5F"/>
      </x:left>
      <x:top style="thin">
        <x:color rgb="FF1E3A5F"/>
      </x:top>
      <x:bottom style="thin">
        <x:color rgb="FF1E3A5F"/>
      </x:bottom>
    </x:border>
    <x:border>
      <x:top style="thin">
        <x:color rgb="FF1E3A5F"/>
      </x:top>
      <x:bottom style="thin">
        <x:color rgb="FF1E3A5F"/>
      </x:bottom>
    </x:border>
    <x:border>
      <x:right style="thin">
        <x:color rgb="FF1E3A5F"/>
      </x:right>
      <x:top style="thin">
        <x:color rgb="FF1E3A5F"/>
      </x:top>
      <x:bottom style="thin">
        <x:color rgb="FF1E3A5F"/>
      </x:bottom>
    </x:border>
    <x:border>
      <x:bottom style="thin">
        <x:color rgb="FFDCE3EA"/>
      </x:bottom>
    </x:border>
    <x:border>
      <x:top style="thin">
        <x:color rgb="FFDCE3EA"/>
      </x:top>
      <x:bottom style="thin">
        <x:color rgb="FFDCE3EA"/>
      </x:bottom>
    </x:border>
    <x:border>
      <x:top style="thin">
        <x:color rgb="FFDCE3EA"/>
      </x:top>
      <x:bottom style="thin">
        <x:color rgb="FF94A3B8"/>
      </x:bottom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left style="thin">
        <x:color rgb="FFD6DFEA"/>
      </x:left>
      <x:right style="thin">
        <x:color rgb="FFD6DFEA"/>
      </x:right>
      <x:top style="thin">
        <x:color rgb="FFD6DFEA"/>
      </x:top>
      <x:bottom style="thin">
        <x:color rgb="FFD6DFEA"/>
      </x:bottom>
    </x:border>
  </x:borders>
  <x:cellStyleXfs count="1">
    <x:xf numFmtId="0" fontId="0" fillId="0" borderId="0"/>
  </x:cellStyleXfs>
  <x:cellXfs count="11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4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4" fillId="5" borderId="4" xfId="0" applyNumberFormat="1" applyFont="1" applyFill="1" applyBorder="1" applyAlignment="1">
      <x:alignment vertical="center"/>
    </x:xf>
    <x:xf numFmtId="0" fontId="4" fillId="5" borderId="5" xfId="0" applyNumberFormat="1" applyFont="1" applyFill="1" applyBorder="1" applyAlignment="1">
      <x:alignment vertical="center"/>
    </x:xf>
    <x:xf numFmtId="0" fontId="4" fillId="5" borderId="6" xfId="0" applyNumberFormat="1" applyFont="1" applyFill="1" applyBorder="1" applyAlignment="1">
      <x:alignment vertical="center"/>
    </x:xf>
    <x:xf numFmtId="0" fontId="4" fillId="5" borderId="4" xfId="0" applyNumberFormat="1" applyFont="1" applyFill="1" applyBorder="1" applyAlignment="1">
      <x:alignment horizontal="left" vertical="center"/>
    </x:xf>
    <x:xf numFmtId="0" fontId="4" fillId="5" borderId="5" xfId="0" applyNumberFormat="1" applyFont="1" applyFill="1" applyBorder="1" applyAlignment="1">
      <x:alignment horizontal="left" vertical="center"/>
    </x:xf>
    <x:xf numFmtId="0" fontId="4" fillId="5" borderId="6" xfId="0" applyNumberFormat="1" applyFont="1" applyFill="1" applyBorder="1" applyAlignment="1">
      <x:alignment horizontal="left" vertical="center"/>
    </x:xf>
    <x:xf numFmtId="0" fontId="4" fillId="5" borderId="4" xfId="0" applyNumberFormat="1" applyFont="1" applyFill="1" applyBorder="1" applyAlignment="1">
      <x:alignment horizontal="right" vertical="center"/>
    </x:xf>
    <x:xf numFmtId="0" fontId="4" fillId="5" borderId="5" xfId="0" applyNumberFormat="1" applyFont="1" applyFill="1" applyBorder="1" applyAlignment="1">
      <x:alignment horizontal="right" vertical="center"/>
    </x:xf>
    <x:xf numFmtId="0" fontId="4" fillId="5" borderId="6" xfId="0" applyNumberFormat="1" applyFont="1" applyFill="1" applyBorder="1" applyAlignment="1">
      <x:alignment horizontal="right" vertical="center"/>
    </x:xf>
    <x:xf numFmtId="200" fontId="4" fillId="5" borderId="4" xfId="0" applyNumberFormat="1" applyFont="1" applyFill="1" applyBorder="1" applyAlignment="1">
      <x:alignment horizontal="right" vertical="center"/>
    </x:xf>
    <x:xf numFmtId="200" fontId="4" fillId="5" borderId="5" xfId="0" applyNumberFormat="1" applyFont="1" applyFill="1" applyBorder="1" applyAlignment="1">
      <x:alignment horizontal="right" vertical="center"/>
    </x:xf>
    <x:xf numFmtId="200" fontId="4" fillId="5" borderId="6" xfId="0" applyNumberFormat="1" applyFont="1" applyFill="1" applyBorder="1" applyAlignment="1">
      <x:alignment horizontal="right" vertical="center"/>
    </x:xf>
    <x:xf numFmtId="201" fontId="4" fillId="5" borderId="4" xfId="0" applyNumberFormat="1" applyFont="1" applyFill="1" applyBorder="1" applyAlignment="1">
      <x:alignment horizontal="right" vertical="center"/>
    </x:xf>
    <x:xf numFmtId="201" fontId="4" fillId="5" borderId="5" xfId="0" applyNumberFormat="1" applyFont="1" applyFill="1" applyBorder="1" applyAlignment="1">
      <x:alignment horizontal="right" vertical="center"/>
    </x:xf>
    <x:xf numFmtId="201" fontId="4" fillId="5" borderId="6" xfId="0" applyNumberFormat="1" applyFont="1" applyFill="1" applyBorder="1" applyAlignment="1">
      <x:alignment horizontal="right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7" xfId="0" applyNumberFormat="1" applyFont="1" applyFill="1" applyBorder="1"/>
    <x:xf numFmtId="0" fontId="5" fillId="6" borderId="8" xfId="0" applyNumberFormat="1" applyFont="1" applyFill="1" applyBorder="1"/>
    <x:xf numFmtId="0" fontId="5" fillId="6" borderId="9" xfId="0" applyNumberFormat="1" applyFont="1" applyFill="1" applyBorder="1"/>
    <x:xf numFmtId="0" fontId="5" fillId="6" borderId="7" xfId="0" applyNumberFormat="1" applyFont="1" applyFill="1" applyBorder="1" applyAlignment="1">
      <x:alignment vertical="center"/>
    </x:xf>
    <x:xf numFmtId="0" fontId="5" fillId="6" borderId="8" xfId="0" applyNumberFormat="1" applyFont="1" applyFill="1" applyBorder="1" applyAlignment="1">
      <x:alignment vertical="center"/>
    </x:xf>
    <x:xf numFmtId="0" fontId="5" fillId="6" borderId="9" xfId="0" applyNumberFormat="1" applyFont="1" applyFill="1" applyBorder="1" applyAlignment="1">
      <x:alignment vertical="center"/>
    </x:xf>
    <x:xf numFmtId="202" fontId="4" fillId="5" borderId="4" xfId="0" applyNumberFormat="1" applyFont="1" applyFill="1" applyBorder="1" applyAlignment="1">
      <x:alignment horizontal="right" vertical="center"/>
    </x:xf>
    <x:xf numFmtId="202" fontId="4" fillId="5" borderId="5" xfId="0" applyNumberFormat="1" applyFont="1" applyFill="1" applyBorder="1" applyAlignment="1">
      <x:alignment horizontal="right" vertical="center"/>
    </x:xf>
    <x:xf numFmtId="202" fontId="4" fillId="5" borderId="6" xfId="0" applyNumberFormat="1" applyFont="1" applyFill="1" applyBorder="1" applyAlignment="1">
      <x:alignment horizontal="right" vertical="center"/>
    </x:xf>
    <x:xf numFmtId="203" fontId="4" fillId="5" borderId="4" xfId="0" applyNumberFormat="1" applyFont="1" applyFill="1" applyBorder="1" applyAlignment="1">
      <x:alignment horizontal="right" vertical="center"/>
    </x:xf>
    <x:xf numFmtId="203" fontId="4" fillId="5" borderId="5" xfId="0" applyNumberFormat="1" applyFont="1" applyFill="1" applyBorder="1" applyAlignment="1">
      <x:alignment horizontal="right" vertical="center"/>
    </x:xf>
    <x:xf numFmtId="203" fontId="4" fillId="5" borderId="6" xfId="0" applyNumberFormat="1" applyFont="1" applyFill="1" applyBorder="1" applyAlignment="1">
      <x:alignment horizontal="right" vertical="center"/>
    </x:xf>
    <x:xf numFmtId="204" fontId="4" fillId="5" borderId="4" xfId="0" applyNumberFormat="1" applyFont="1" applyFill="1" applyBorder="1" applyAlignment="1">
      <x:alignment horizontal="right" vertical="center"/>
    </x:xf>
    <x:xf numFmtId="204" fontId="4" fillId="5" borderId="5" xfId="0" applyNumberFormat="1" applyFont="1" applyFill="1" applyBorder="1" applyAlignment="1">
      <x:alignment horizontal="right" vertical="center"/>
    </x:xf>
    <x:xf numFmtId="204" fontId="4" fillId="5" borderId="6" xfId="0" applyNumberFormat="1" applyFont="1" applyFill="1" applyBorder="1" applyAlignment="1">
      <x:alignment horizontal="right" vertical="center"/>
    </x:xf>
    <x:xf numFmtId="205" fontId="4" fillId="5" borderId="4" xfId="0" applyNumberFormat="1" applyFont="1" applyFill="1" applyBorder="1" applyAlignment="1">
      <x:alignment horizontal="right" vertical="center"/>
    </x:xf>
    <x:xf numFmtId="205" fontId="4" fillId="5" borderId="5" xfId="0" applyNumberFormat="1" applyFont="1" applyFill="1" applyBorder="1" applyAlignment="1">
      <x:alignment horizontal="right" vertical="center"/>
    </x:xf>
    <x:xf numFmtId="205" fontId="4" fillId="5" borderId="6" xfId="0" applyNumberFormat="1" applyFont="1" applyFill="1" applyBorder="1" applyAlignment="1">
      <x:alignment horizontal="right" vertical="center"/>
    </x:xf>
    <x:xf numFmtId="0" fontId="4" fillId="7" borderId="4" xfId="0" applyNumberFormat="1" applyFont="1" applyFill="1" applyBorder="1" applyAlignment="1">
      <x:alignment horizontal="left" vertical="center"/>
    </x:xf>
    <x:xf numFmtId="202" fontId="4" fillId="7" borderId="4" xfId="0" applyNumberFormat="1" applyFont="1" applyFill="1" applyBorder="1" applyAlignment="1">
      <x:alignment horizontal="right" vertical="center"/>
    </x:xf>
    <x:xf numFmtId="203" fontId="4" fillId="7" borderId="4" xfId="0" applyNumberFormat="1" applyFont="1" applyFill="1" applyBorder="1" applyAlignment="1">
      <x:alignment horizontal="right" vertical="center"/>
    </x:xf>
    <x:xf numFmtId="204" fontId="4" fillId="7" borderId="4" xfId="0" applyNumberFormat="1" applyFont="1" applyFill="1" applyBorder="1" applyAlignment="1">
      <x:alignment horizontal="right" vertical="center"/>
    </x:xf>
    <x:xf numFmtId="205" fontId="4" fillId="7" borderId="4" xfId="0" applyNumberFormat="1" applyFont="1" applyFill="1" applyBorder="1" applyAlignment="1">
      <x:alignment horizontal="right" vertical="center"/>
    </x:xf>
    <x:xf numFmtId="0" fontId="6" fillId="7" borderId="4" xfId="0" applyNumberFormat="1" applyFont="1" applyFill="1" applyBorder="1" applyAlignment="1">
      <x:alignment horizontal="left" vertical="center"/>
    </x:xf>
    <x:xf numFmtId="202" fontId="6" fillId="7" borderId="4" xfId="0" applyNumberFormat="1" applyFont="1" applyFill="1" applyBorder="1" applyAlignment="1">
      <x:alignment horizontal="right" vertical="center"/>
    </x:xf>
    <x:xf numFmtId="203" fontId="6" fillId="7" borderId="4" xfId="0" applyNumberFormat="1" applyFont="1" applyFill="1" applyBorder="1" applyAlignment="1">
      <x:alignment horizontal="right" vertical="center"/>
    </x:xf>
    <x:xf numFmtId="204" fontId="6" fillId="7" borderId="4" xfId="0" applyNumberFormat="1" applyFont="1" applyFill="1" applyBorder="1" applyAlignment="1">
      <x:alignment horizontal="right" vertical="center"/>
    </x:xf>
    <x:xf numFmtId="205" fontId="6" fillId="7" borderId="4" xfId="0" applyNumberFormat="1" applyFont="1" applyFill="1" applyBorder="1" applyAlignment="1">
      <x:alignment horizontal="right" vertical="center"/>
    </x:xf>
    <x:xf numFmtId="0" fontId="5" fillId="6" borderId="10" xfId="0" applyNumberFormat="1" applyFont="1" applyFill="1" applyBorder="1"/>
    <x:xf numFmtId="0" fontId="5" fillId="6" borderId="11" xfId="0" applyNumberFormat="1" applyFont="1" applyFill="1" applyBorder="1"/>
    <x:xf numFmtId="0" fontId="5" fillId="6" borderId="12" xfId="0" applyNumberFormat="1" applyFont="1" applyFill="1" applyBorder="1"/>
    <x:xf numFmtId="0" fontId="5" fillId="6" borderId="13" xfId="0" applyNumberFormat="1" applyFont="1" applyFill="1" applyBorder="1"/>
    <x:xf numFmtId="0" fontId="5" fillId="6" borderId="14" xfId="0" applyNumberFormat="1" applyFont="1" applyFill="1" applyBorder="1"/>
    <x:xf numFmtId="0" fontId="5" fillId="6" borderId="15" xfId="0" applyNumberFormat="1" applyFont="1" applyFill="1" applyBorder="1"/>
    <x:xf numFmtId="0" fontId="5" fillId="6" borderId="10" xfId="0" applyNumberFormat="1" applyFont="1" applyFill="1" applyBorder="1" applyAlignment="1">
      <x:alignment wrapText="1"/>
    </x:xf>
    <x:xf numFmtId="0" fontId="5" fillId="6" borderId="11" xfId="0" applyNumberFormat="1" applyFont="1" applyFill="1" applyBorder="1" applyAlignment="1">
      <x:alignment wrapText="1"/>
    </x:xf>
    <x:xf numFmtId="0" fontId="5" fillId="6" borderId="12" xfId="0" applyNumberFormat="1" applyFont="1" applyFill="1" applyBorder="1" applyAlignment="1">
      <x:alignment wrapText="1"/>
    </x:xf>
    <x:xf numFmtId="0" fontId="5" fillId="6" borderId="13" xfId="0" applyNumberFormat="1" applyFont="1" applyFill="1" applyBorder="1" applyAlignment="1">
      <x:alignment wrapText="1"/>
    </x:xf>
    <x:xf numFmtId="0" fontId="5" fillId="6" borderId="14" xfId="0" applyNumberFormat="1" applyFont="1" applyFill="1" applyBorder="1" applyAlignment="1">
      <x:alignment wrapText="1"/>
    </x:xf>
    <x:xf numFmtId="0" fontId="5" fillId="6" borderId="15" xfId="0" applyNumberFormat="1" applyFont="1" applyFill="1" applyBorder="1" applyAlignment="1">
      <x:alignment wrapText="1"/>
    </x:xf>
    <x:xf numFmtId="0" fontId="5" fillId="6" borderId="10" xfId="0" applyNumberFormat="1" applyFont="1" applyFill="1" applyBorder="1" applyAlignment="1">
      <x:alignment vertical="center" wrapText="1"/>
    </x:xf>
    <x:xf numFmtId="0" fontId="5" fillId="6" borderId="11" xfId="0" applyNumberFormat="1" applyFont="1" applyFill="1" applyBorder="1" applyAlignment="1">
      <x:alignment vertical="center" wrapText="1"/>
    </x:xf>
    <x:xf numFmtId="0" fontId="5" fillId="6" borderId="12" xfId="0" applyNumberFormat="1" applyFont="1" applyFill="1" applyBorder="1" applyAlignment="1">
      <x:alignment vertical="center" wrapText="1"/>
    </x:xf>
    <x:xf numFmtId="0" fontId="5" fillId="6" borderId="13" xfId="0" applyNumberFormat="1" applyFont="1" applyFill="1" applyBorder="1" applyAlignment="1">
      <x:alignment vertical="center" wrapText="1"/>
    </x:xf>
    <x:xf numFmtId="0" fontId="5" fillId="6" borderId="14" xfId="0" applyNumberFormat="1" applyFont="1" applyFill="1" applyBorder="1" applyAlignment="1">
      <x:alignment vertical="center" wrapText="1"/>
    </x:xf>
    <x:xf numFmtId="0" fontId="5" fillId="6" borderId="15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0" xfId="0" applyNumberFormat="1" applyFont="1" applyFill="1" applyBorder="1" applyAlignment="1">
      <x:alignment wrapText="1"/>
    </x:xf>
    <x:xf numFmtId="0" fontId="9" fillId="10" borderId="0" xfId="0" applyNumberFormat="1" applyFont="1" applyFill="1" applyBorder="1" applyAlignment="1">
      <x:alignment horizontal="center" wrapText="1"/>
    </x:xf>
    <x:xf numFmtId="0" fontId="9" fillId="10" borderId="0" xfId="0" applyNumberFormat="1" applyFont="1" applyFill="1" applyBorder="1" applyAlignment="1">
      <x:alignment horizontal="center" vertical="center" wrapText="1"/>
    </x:xf>
    <x:xf numFmtId="0" fontId="0" fillId="0" borderId="16" xfId="0" applyNumberFormat="1" applyFont="1" applyFill="1" applyBorder="1"/>
    <x:xf numFmtId="0" fontId="0" fillId="0" borderId="16" xfId="0" applyNumberFormat="1" applyFont="1" applyFill="1" applyBorder="1" applyAlignment="1">
      <x:alignment horizontal="left"/>
    </x:xf>
    <x:xf numFmtId="0" fontId="0" fillId="0" borderId="16" xfId="0" applyNumberFormat="1" applyFont="1" applyFill="1" applyBorder="1" applyAlignment="1">
      <x:alignment horizontal="right"/>
    </x:xf>
    <x:xf numFmtId="200" fontId="0" fillId="0" borderId="16" xfId="0" applyNumberFormat="1" applyFont="1" applyFill="1" applyBorder="1" applyAlignment="1">
      <x:alignment horizontal="right"/>
    </x:xf>
    <x:xf numFmtId="201" fontId="0" fillId="0" borderId="16" xfId="0" applyNumberFormat="1" applyFont="1" applyFill="1" applyBorder="1" applyAlignment="1">
      <x:alignment horizontal="right"/>
    </x:xf>
    <x:xf numFmtId="0" fontId="10" fillId="8" borderId="0" xfId="0" applyNumberFormat="1" applyFont="1" applyFill="1" applyBorder="1"/>
    <x:xf numFmtId="0" fontId="9" fillId="10" borderId="0" xfId="0" applyNumberFormat="1" applyFont="1" applyFill="1" applyBorder="1" applyAlignment="1">
      <x:alignment horizontal="center"/>
    </x:xf>
    <x:xf numFmtId="206" fontId="0" fillId="0" borderId="16" xfId="0" applyNumberFormat="1" applyFont="1" applyFill="1" applyBorder="1"/>
    <x:xf numFmtId="207" fontId="0" fillId="0" borderId="16" xfId="0" applyNumberFormat="1" applyFont="1" applyFill="1" applyBorder="1"/>
    <x:xf numFmtId="0" fontId="0" fillId="11" borderId="0" xfId="0" applyNumberFormat="1" applyFont="1" applyFill="1" applyBorder="1"/>
    <x:xf numFmtId="0" fontId="11" fillId="11" borderId="0" xfId="0" applyNumberFormat="1" applyFont="1" applyFill="1" applyBorder="1"/>
    <x:xf numFmtId="0" fontId="11" fillId="11" borderId="0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b/>
        <x:color rgb="FF166534"/>
      </x:font>
      <x:fill>
        <x:patternFill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461f81f43094685" /><Relationship Type="http://schemas.openxmlformats.org/officeDocument/2006/relationships/theme" Target="/xl/theme/theme1.xml" Id="R02dc81ba397c4848" /><Relationship Type="http://schemas.openxmlformats.org/officeDocument/2006/relationships/sharedStrings" Target="/xl/sharedStrings.xml" Id="Rbfcf854bec354acd" /><Relationship Type="http://schemas.openxmlformats.org/officeDocument/2006/relationships/worksheet" Target="/xl/worksheets/sheet1.xml" Id="R96df9866cc324aa9" /><Relationship Type="http://schemas.openxmlformats.org/officeDocument/2006/relationships/worksheet" Target="/xl/worksheets/sheet2.xml" Id="Rb44229c2d6864b12" /><Relationship Type="http://schemas.openxmlformats.org/officeDocument/2006/relationships/worksheet" Target="/xl/worksheets/sheet3.xml" Id="R9288c611de1d4fc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9" hidden="0" customWidth="1"/>
    <x:col min="3" max="3" width="22" hidden="0" customWidth="1"/>
    <x:col min="4" max="4" width="29" hidden="0" customWidth="1"/>
  </x:cols>
  <x:sheetData>
    <x:row r="1" ht="34" customHeight="1">
      <x:c r="A1" s="3" t="str">
        <x:v>Hybrid Sparse GEMM Performance</x:v>
      </x:c>
      <x:c r="B1" s="3"/>
      <x:c r="C1" s="3"/>
      <x:c r="D1" s="3"/>
    </x:row>
    <x:row r="2" ht="24" customHeight="1">
      <x:c r="A2" s="6" t="str">
        <x:v>NVIDIA H20 | BF16 input/output | FP32 accumulation | 25% hybrid block sparsity | L2 flush disabled</x:v>
      </x:c>
      <x:c r="B2" s="6"/>
      <x:c r="C2" s="6"/>
      <x:c r="D2" s="6"/>
    </x:row>
    <x:row r="4" ht="32" customHeight="1">
      <x:c r="A4" s="18" t="str">
        <x:v>Shape (M x N x K)</x:v>
      </x:c>
      <x:c r="B4" s="19" t="str">
        <x:v>Total latency (us)</x:v>
      </x:c>
      <x:c r="C4" s="19" t="str">
        <x:v>DeepGEMM latency (us)</x:v>
      </x:c>
      <x:c r="D4" s="20" t="str">
        <x:v>Speedup (DeepGEMM / Total)</x:v>
      </x:c>
    </x:row>
    <x:row r="5" ht="22" customHeight="1">
      <x:c r="A5" s="29" t="str">
        <x:v>128 x 1408 x 2048</x:v>
      </x:c>
      <x:c r="B5" s="35" t="n">
        <x:v>18.27</x:v>
      </x:c>
      <x:c r="C5" s="35" t="n">
        <x:v>10.32</x:v>
      </x:c>
      <x:c r="D5" s="38" t="n">
        <x:f>C5/B5</x:f>
        <x:v>0.5648604269293924</x:v>
      </x:c>
    </x:row>
    <x:row r="6" ht="22" customHeight="1">
      <x:c r="A6" s="30" t="str">
        <x:v>128 x 2048 x 1408</x:v>
      </x:c>
      <x:c r="B6" s="36" t="n">
        <x:v>13.65</x:v>
      </x:c>
      <x:c r="C6" s="36" t="n">
        <x:v>9.26</x:v>
      </x:c>
      <x:c r="D6" s="39" t="n">
        <x:f>C6/B6</x:f>
        <x:v>0.6783882783882783</x:v>
      </x:c>
    </x:row>
    <x:row r="7" ht="22" customHeight="1">
      <x:c r="A7" s="30" t="str">
        <x:v>256 x 1408 x 2048</x:v>
      </x:c>
      <x:c r="B7" s="36" t="n">
        <x:v>25.92</x:v>
      </x:c>
      <x:c r="C7" s="36" t="n">
        <x:v>14.91</x:v>
      </x:c>
      <x:c r="D7" s="39" t="n">
        <x:f>C7/B7</x:f>
        <x:v>0.5752314814814814</x:v>
      </x:c>
    </x:row>
    <x:row r="8" ht="22" customHeight="1">
      <x:c r="A8" s="30" t="str">
        <x:v>256 x 2048 x 1408</x:v>
      </x:c>
      <x:c r="B8" s="36" t="n">
        <x:v>19.03</x:v>
      </x:c>
      <x:c r="C8" s="36" t="n">
        <x:v>14.29</x:v>
      </x:c>
      <x:c r="D8" s="39" t="n">
        <x:f>C8/B8</x:f>
        <x:v>0.7509196006305832</x:v>
      </x:c>
    </x:row>
    <x:row r="9" ht="22" customHeight="1">
      <x:c r="A9" s="30" t="str">
        <x:v>512 x 1408 x 2048</x:v>
      </x:c>
      <x:c r="B9" s="36" t="n">
        <x:v>32.66</x:v>
      </x:c>
      <x:c r="C9" s="36" t="n">
        <x:v>27.35</x:v>
      </x:c>
      <x:c r="D9" s="39" t="n">
        <x:f>C9/B9</x:f>
        <x:v>0.8374157991426823</x:v>
      </x:c>
    </x:row>
    <x:row r="10" ht="22" customHeight="1">
      <x:c r="A10" s="30" t="str">
        <x:v>512 x 2048 x 1408</x:v>
      </x:c>
      <x:c r="B10" s="36" t="n">
        <x:v>39.08</x:v>
      </x:c>
      <x:c r="C10" s="36" t="n">
        <x:v>26.71</x:v>
      </x:c>
      <x:c r="D10" s="39" t="n">
        <x:f>C10/B10</x:f>
        <x:v>0.6834698055271239</x:v>
      </x:c>
    </x:row>
    <x:row r="11" ht="22" customHeight="1">
      <x:c r="A11" s="30" t="str">
        <x:v>1024 x 1408 x 2048</x:v>
      </x:c>
      <x:c r="B11" s="36" t="n">
        <x:v>60.59</x:v>
      </x:c>
      <x:c r="C11" s="36" t="n">
        <x:v>52.78</x:v>
      </x:c>
      <x:c r="D11" s="39" t="n">
        <x:f>C11/B11</x:f>
        <x:v>0.8711008417230566</x:v>
      </x:c>
    </x:row>
    <x:row r="12" ht="22" customHeight="1">
      <x:c r="A12" s="30" t="str">
        <x:v>1024 x 2048 x 1408</x:v>
      </x:c>
      <x:c r="B12" s="36" t="n">
        <x:v>80.61</x:v>
      </x:c>
      <x:c r="C12" s="36" t="n">
        <x:v>51.41</x:v>
      </x:c>
      <x:c r="D12" s="39" t="n">
        <x:f>C12/B12</x:f>
        <x:v>0.6377620642600174</x:v>
      </x:c>
    </x:row>
    <x:row r="13" ht="22" customHeight="1">
      <x:c r="A13" s="30" t="str">
        <x:v>2048 x 1408 x 2048</x:v>
      </x:c>
      <x:c r="B13" s="36" t="n">
        <x:v>122.86</x:v>
      </x:c>
      <x:c r="C13" s="36" t="n">
        <x:v>102.93</x:v>
      </x:c>
      <x:c r="D13" s="39" t="n">
        <x:f>C13/B13</x:f>
        <x:v>0.8377828422594824</x:v>
      </x:c>
    </x:row>
    <x:row r="14" ht="22" customHeight="1">
      <x:c r="A14" s="30" t="str">
        <x:v>2048 x 2048 x 1408</x:v>
      </x:c>
      <x:c r="B14" s="36" t="n">
        <x:v>102.04</x:v>
      </x:c>
      <x:c r="C14" s="36" t="n">
        <x:v>100.49</x:v>
      </x:c>
      <x:c r="D14" s="39" t="n">
        <x:f>C14/B14</x:f>
        <x:v>0.9848098784790277</x:v>
      </x:c>
    </x:row>
    <x:row r="15" ht="22" customHeight="1">
      <x:c r="A15" s="30" t="str">
        <x:v>4096 x 1408 x 2048</x:v>
      </x:c>
      <x:c r="B15" s="36" t="n">
        <x:v>185.84</x:v>
      </x:c>
      <x:c r="C15" s="36" t="n">
        <x:v>198.94</x:v>
      </x:c>
      <x:c r="D15" s="39" t="n">
        <x:f>C15/B15</x:f>
        <x:v>1.0704907447266465</x:v>
      </x:c>
    </x:row>
    <x:row r="16" ht="22" customHeight="1">
      <x:c r="A16" s="31" t="str">
        <x:v>4096 x 2048 x 1408</x:v>
      </x:c>
      <x:c r="B16" s="37" t="n">
        <x:v>191.15</x:v>
      </x:c>
      <x:c r="C16" s="37" t="n">
        <x:v>197.71</x:v>
      </x:c>
      <x:c r="D16" s="40" t="n">
        <x:f>C16/B16</x:f>
        <x:v>1.0343185979597176</x:v>
      </x:c>
    </x:row>
    <x:row r="18" ht="24" customHeight="1">
      <x:c r="A18" s="46" t="str">
        <x:v>Speedup &gt; 1.0x means the fused hybrid sparse kernel is faster than DeepGEMM.</x:v>
      </x:c>
      <x:c r="B18" s="47"/>
      <x:c r="C18" s="47"/>
      <x:c r="D18" s="48"/>
    </x:row>
  </x:sheetData>
  <x:mergeCells>
    <x:mergeCell ref="A1:D1"/>
    <x:mergeCell ref="A2:D2"/>
    <x:mergeCell ref="A18:D18"/>
  </x:mergeCells>
  <x:conditionalFormatting sqref="D5:D16">
    <x:cfRule type="colorScale" priority="1">
      <x:colorScale>
        <x:cfvo type="min"/>
        <x:cfvo type="num" val="1"/>
        <x:cfvo type="max"/>
        <x:color rgb="FFFECACA"/>
        <x:color rgb="FFFEF3C7"/>
        <x:color rgb="FFBBF7D0"/>
      </x:colorScale>
    </x:cfRule>
    <x:cfRule type="cellIs" dxfId="0" priority="2" operator="greaterThanOrEqual">
      <x:formula>1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27" hidden="0" customWidth="1"/>
    <x:col min="3" max="3" width="14" hidden="0" customWidth="1"/>
    <x:col min="4" max="4" width="12" hidden="0" customWidth="1"/>
    <x:col min="5" max="5" width="18" hidden="0" customWidth="1"/>
    <x:col min="6" max="6" width="18" hidden="0" customWidth="1"/>
    <x:col min="7" max="7" width="19" hidden="0" customWidth="1"/>
    <x:col min="8" max="8" width="19" hidden="0" customWidth="1"/>
    <x:col min="9" max="9" width="16" hidden="0" customWidth="1"/>
    <x:col min="10" max="10" width="22" hidden="0" customWidth="1"/>
  </x:cols>
  <x:sheetData>
    <x:row r="1" ht="34" customHeight="1">
      <x:c r="A1" s="3" t="str">
        <x:v>Qwen1.5-MoE Sparse Accuracy Comparison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4" customHeight="1">
      <x:c r="A2" s="6" t="str">
        <x:v>Qwen/Qwen1.5-MoE-A2.7B | Wanda | 128 WikiText2 calibration samples | routed experts only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4" ht="36" customHeight="1">
      <x:c r="A4" s="18" t="str">
        <x:v>Configuration</x:v>
      </x:c>
      <x:c r="B4" s="19" t="str">
        <x:v>Sparse pattern</x:v>
      </x:c>
      <x:c r="C4" s="19" t="str">
        <x:v>Block shape</x:v>
      </x:c>
      <x:c r="D4" s="19" t="str">
        <x:v>Sparsity</x:v>
      </x:c>
      <x:c r="E4" s="19" t="str">
        <x:v>WikiText2 PPL</x:v>
      </x:c>
      <x:c r="F4" s="19" t="str">
        <x:v>PPL delta vs Dense</x:v>
      </x:c>
      <x:c r="G4" s="19" t="str">
        <x:v>Commonsense avg</x:v>
      </x:c>
      <x:c r="H4" s="19" t="str">
        <x:v>Commonsense delta</x:v>
      </x:c>
      <x:c r="I4" s="19" t="str">
        <x:v>MMLU 5-shot</x:v>
      </x:c>
      <x:c r="J4" s="20" t="str">
        <x:v>GSM8K 5-shot flexible</x:v>
      </x:c>
    </x:row>
    <x:row r="5" ht="24" customHeight="1">
      <x:c r="A5" s="66" t="str">
        <x:v>Dense</x:v>
      </x:c>
      <x:c r="B5" s="66" t="str">
        <x:v>Dense</x:v>
      </x:c>
      <x:c r="C5" s="66" t="str">
        <x:v>-</x:v>
      </x:c>
      <x:c r="D5" s="67" t="n">
        <x:v>0</x:v>
      </x:c>
      <x:c r="E5" s="68" t="n">
        <x:v>7.2173</x:v>
      </x:c>
      <x:c r="F5" s="68" t="n">
        <x:f>E5-$E$5</x:f>
        <x:v>0</x:v>
      </x:c>
      <x:c r="G5" s="69" t="n">
        <x:v>0.6639</x:v>
      </x:c>
      <x:c r="H5" s="70" t="n">
        <x:f>(G5-$G$5)*100</x:f>
        <x:v>0</x:v>
      </x:c>
      <x:c r="I5" s="69" t="n">
        <x:v>0.6124</x:v>
      </x:c>
      <x:c r="J5" s="69" t="n">
        <x:v>0.6065</x:v>
      </x:c>
    </x:row>
    <x:row r="6" ht="24" customHeight="1">
      <x:c r="A6" s="30" t="str">
        <x:v>SlideSparse 6:8</x:v>
      </x:c>
      <x:c r="B6" s="30" t="str">
        <x:v>6:8 element sparse</x:v>
      </x:c>
      <x:c r="C6" s="30" t="str">
        <x:v>Vector</x:v>
      </x:c>
      <x:c r="D6" s="50" t="n">
        <x:v>0.25</x:v>
      </x:c>
      <x:c r="E6" s="53" t="n">
        <x:v>7.3003</x:v>
      </x:c>
      <x:c r="F6" s="53" t="n">
        <x:f>E6-$E$5</x:f>
        <x:v>0.08300000000000018</x:v>
      </x:c>
      <x:c r="G6" s="56" t="n">
        <x:v>0.659506</x:v>
      </x:c>
      <x:c r="H6" s="59" t="n">
        <x:f>(G6-$G$5)*100</x:f>
        <x:v>-0.4394000000000009</x:v>
      </x:c>
      <x:c r="I6" s="56" t="n">
        <x:v>0.6087</x:v>
      </x:c>
      <x:c r="J6" s="56" t="n">
        <x:v>0.6035</x:v>
      </x:c>
    </x:row>
    <x:row r="7" ht="24" customHeight="1">
      <x:c r="A7" s="30" t="str">
        <x:v>Hybrid Block Sparse 1x4</x:v>
      </x:c>
      <x:c r="B7" s="30" t="str">
        <x:v>1-of-2 blocks use 2:4</x:v>
      </x:c>
      <x:c r="C7" s="30" t="str">
        <x:v>1 x 4</x:v>
      </x:c>
      <x:c r="D7" s="50" t="n">
        <x:v>0.25</x:v>
      </x:c>
      <x:c r="E7" s="53" t="n">
        <x:v>7.3666</x:v>
      </x:c>
      <x:c r="F7" s="53" t="n">
        <x:f>E7-$E$5</x:f>
        <x:v>0.1493000000000002</x:v>
      </x:c>
      <x:c r="G7" s="56" t="n">
        <x:v>0.660879</x:v>
      </x:c>
      <x:c r="H7" s="59" t="n">
        <x:f>(G7-$G$5)*100</x:f>
        <x:v>-0.30210000000000514</x:v>
      </x:c>
      <x:c r="I7" s="56"/>
      <x:c r="J7" s="56"/>
    </x:row>
    <x:row r="8" ht="24" customHeight="1">
      <x:c r="A8" s="30" t="str">
        <x:v>Hybrid Block Sparse 4x4</x:v>
      </x:c>
      <x:c r="B8" s="30" t="str">
        <x:v>1-of-2 blocks use 2:4</x:v>
      </x:c>
      <x:c r="C8" s="30" t="str">
        <x:v>4 x 4</x:v>
      </x:c>
      <x:c r="D8" s="50" t="n">
        <x:v>0.25</x:v>
      </x:c>
      <x:c r="E8" s="53" t="n">
        <x:v>7.4606</x:v>
      </x:c>
      <x:c r="F8" s="53" t="n">
        <x:f>E8-$E$5</x:f>
        <x:v>0.24330000000000052</x:v>
      </x:c>
      <x:c r="G8" s="56" t="n">
        <x:v>0.659993</x:v>
      </x:c>
      <x:c r="H8" s="59" t="n">
        <x:f>(G8-$G$5)*100</x:f>
        <x:v>-0.3906999999999994</x:v>
      </x:c>
      <x:c r="I8" s="56"/>
      <x:c r="J8" s="56"/>
    </x:row>
    <x:row r="9" ht="24" customHeight="1">
      <x:c r="A9" s="30" t="str">
        <x:v>Hybrid Block Sparse 16x16</x:v>
      </x:c>
      <x:c r="B9" s="30" t="str">
        <x:v>1-of-2 blocks use 2:4</x:v>
      </x:c>
      <x:c r="C9" s="30" t="str">
        <x:v>16 x 16</x:v>
      </x:c>
      <x:c r="D9" s="50" t="n">
        <x:v>0.25</x:v>
      </x:c>
      <x:c r="E9" s="53" t="n">
        <x:v>7.5743</x:v>
      </x:c>
      <x:c r="F9" s="53" t="n">
        <x:f>E9-$E$5</x:f>
        <x:v>0.3570000000000002</x:v>
      </x:c>
      <x:c r="G9" s="56" t="n">
        <x:v>0.659448</x:v>
      </x:c>
      <x:c r="H9" s="59" t="n">
        <x:f>(G9-$G$5)*100</x:f>
        <x:v>-0.44520000000000115</x:v>
      </x:c>
      <x:c r="I9" s="56"/>
      <x:c r="J9" s="56"/>
    </x:row>
    <x:row r="10" ht="24" customHeight="1">
      <x:c r="A10" s="30" t="str">
        <x:v>Hybrid Block Sparse 64x64</x:v>
      </x:c>
      <x:c r="B10" s="30" t="str">
        <x:v>1-of-2 blocks use 2:4</x:v>
      </x:c>
      <x:c r="C10" s="30" t="str">
        <x:v>64 x 64</x:v>
      </x:c>
      <x:c r="D10" s="50" t="n">
        <x:v>0.25</x:v>
      </x:c>
      <x:c r="E10" s="53" t="n">
        <x:v>7.6273</x:v>
      </x:c>
      <x:c r="F10" s="53" t="n">
        <x:f>E10-$E$5</x:f>
        <x:v>0.41000000000000014</x:v>
      </x:c>
      <x:c r="G10" s="56" t="n">
        <x:v>0.6569</x:v>
      </x:c>
      <x:c r="H10" s="59" t="n">
        <x:f>(G10-$G$5)*100</x:f>
        <x:v>-0.7000000000000006</x:v>
      </x:c>
      <x:c r="I10" s="56"/>
      <x:c r="J10" s="56"/>
    </x:row>
    <x:row r="11" ht="24" customHeight="1">
      <x:c r="A11" s="30" t="str">
        <x:v>HB-N:M 50%</x:v>
      </x:c>
      <x:c r="B11" s="30" t="str">
        <x:v>All blocks use 2:4</x:v>
      </x:c>
      <x:c r="C11" s="30" t="str">
        <x:v>16 x 16</x:v>
      </x:c>
      <x:c r="D11" s="50" t="n">
        <x:v>0.5</x:v>
      </x:c>
      <x:c r="E11" s="53" t="n">
        <x:v>8.54</x:v>
      </x:c>
      <x:c r="F11" s="53" t="n">
        <x:f>E11-$E$5</x:f>
        <x:v>1.3226999999999993</x:v>
      </x:c>
      <x:c r="G11" s="56" t="n">
        <x:v>0.6394</x:v>
      </x:c>
      <x:c r="H11" s="59" t="n">
        <x:f>(G11-$G$5)*100</x:f>
        <x:v>-2.4500000000000077</x:v>
      </x:c>
      <x:c r="I11" s="56" t="n">
        <x:v>0.5583</x:v>
      </x:c>
      <x:c r="J11" s="56" t="n">
        <x:v>0.4049</x:v>
      </x:c>
    </x:row>
    <x:row r="12" ht="24" customHeight="1">
      <x:c r="A12" s="31" t="str">
        <x:v>HB-N:M 75%</x:v>
      </x:c>
      <x:c r="B12" s="31" t="str">
        <x:v>1-of-2 blocks kept + 2:4</x:v>
      </x:c>
      <x:c r="C12" s="31" t="str">
        <x:v>16 x 16</x:v>
      </x:c>
      <x:c r="D12" s="51" t="n">
        <x:v>0.75</x:v>
      </x:c>
      <x:c r="E12" s="54" t="n">
        <x:v>218.85</x:v>
      </x:c>
      <x:c r="F12" s="54" t="n">
        <x:f>E12-$E$5</x:f>
        <x:v>211.6327</x:v>
      </x:c>
      <x:c r="G12" s="57" t="n">
        <x:v>0.3984</x:v>
      </x:c>
      <x:c r="H12" s="60" t="n">
        <x:f>(G12-$G$5)*100</x:f>
        <x:v>-26.550000000000008</x:v>
      </x:c>
      <x:c r="I12" s="57" t="n">
        <x:v>0.2522</x:v>
      </x:c>
      <x:c r="J12" s="57" t="n">
        <x:v>0.0114</x:v>
      </x:c>
    </x:row>
    <x:row r="14">
      <x:c r="A14" s="83" t="str">
        <x:v>Sources: qwen1_5_moe_structured_sparsity_accuracy.md and qwen1_5_moe_hybrid_block_sparse_results.md. Blank cells indicate metrics that were not evaluated. Lower PPL and higher accuracy are better.</x:v>
      </x:c>
      <x:c r="B14" s="84"/>
      <x:c r="C14" s="84"/>
      <x:c r="D14" s="84"/>
      <x:c r="E14" s="84"/>
      <x:c r="F14" s="84"/>
      <x:c r="G14" s="84"/>
      <x:c r="H14" s="84"/>
      <x:c r="I14" s="84"/>
      <x:c r="J14" s="85"/>
    </x:row>
    <x:row r="15">
      <x:c r="A15" s="86"/>
      <x:c r="B15" s="87"/>
      <x:c r="C15" s="87"/>
      <x:c r="D15" s="87"/>
      <x:c r="E15" s="87"/>
      <x:c r="F15" s="87"/>
      <x:c r="G15" s="87"/>
      <x:c r="H15" s="87"/>
      <x:c r="I15" s="87"/>
      <x:c r="J15" s="88"/>
    </x:row>
  </x:sheetData>
  <x:mergeCells>
    <x:mergeCell ref="A1:J1"/>
    <x:mergeCell ref="A2:J2"/>
    <x:mergeCell ref="A14:J15"/>
  </x:mergeCells>
  <x:conditionalFormatting sqref="E5:E12">
    <x:cfRule type="colorScale" priority="1">
      <x:colorScale>
        <x:cfvo type="min"/>
        <x:cfvo type="num" val="9"/>
        <x:cfvo type="max"/>
        <x:color rgb="FFBBF7D0"/>
        <x:color rgb="FFFEF3C7"/>
        <x:color rgb="FFFECACA"/>
      </x:colorScale>
    </x:cfRule>
  </x:conditionalFormatting>
  <x:conditionalFormatting sqref="F6:F12">
    <x:cfRule type="colorScale" priority="2">
      <x:colorScale>
        <x:cfvo type="min"/>
        <x:cfvo type="num" val="0.5"/>
        <x:cfvo type="max"/>
        <x:color rgb="FFFEF3C7"/>
        <x:color rgb="FFFED7AA"/>
        <x:color rgb="FFFECACA"/>
      </x:colorScale>
    </x:cfRule>
  </x:conditionalFormatting>
  <x:conditionalFormatting sqref="G5:G12">
    <x:cfRule type="colorScale" priority="3">
      <x:colorScale>
        <x:cfvo type="min"/>
        <x:cfvo type="num" val="0.64"/>
        <x:cfvo type="max"/>
        <x:color rgb="FFFECACA"/>
        <x:color rgb="FFFEF3C7"/>
        <x:color rgb="FFBBF7D0"/>
      </x:colorScale>
    </x:cfRule>
  </x:conditionalFormatting>
  <x:conditionalFormatting sqref="H6:H12">
    <x:cfRule type="colorScale" priority="4">
      <x:colorScale>
        <x:cfvo type="min"/>
        <x:cfvo type="num" val="-1"/>
        <x:cfvo type="max"/>
        <x:color rgb="FFFECACA"/>
        <x:color rgb="FFFEF3C7"/>
        <x:color rgb="FFBBF7D0"/>
      </x:colorScale>
    </x:cfRule>
  </x:conditionalFormatting>
  <x:conditionalFormatting sqref="I5:J12">
    <x:cfRule type="colorScale" priority="5">
      <x:colorScale>
        <x:cfvo type="min"/>
        <x:cfvo type="percentile" val="50"/>
        <x:cfvo type="max"/>
        <x:color rgb="FFFECACA"/>
        <x:color rgb="FFFEF3C7"/>
        <x:color rgb="FFBBF7D0"/>
      </x:colorScale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1" hidden="0" customWidth="1"/>
    <x:col min="3" max="3" width="21" hidden="0" customWidth="1"/>
    <x:col min="4" max="4" width="21" hidden="0" customWidth="1"/>
    <x:col min="5" max="5" width="21" hidden="0" customWidth="1"/>
    <x:col min="6" max="6" width="23" hidden="0" customWidth="1"/>
    <x:col min="7" max="7" width="23" hidden="0" customWidth="1"/>
  </x:cols>
  <x:sheetData>
    <x:row r="1" ht="38" customHeight="1">
      <x:c r="A1" s="91" t="str">
        <x:v>Persistent Scheduler + Lane-Ready Metadata</x:v>
      </x:c>
      <x:c r="B1" s="91"/>
      <x:c r="C1" s="91"/>
      <x:c r="D1" s="91"/>
      <x:c r="E1" s="91"/>
      <x:c r="F1" s="91"/>
      <x:c r="G1" s="91"/>
    </x:row>
    <x:row r="2" ht="25" customHeight="1">
      <x:c r="A2" s="94" t="str">
        <x:v>NVIDIA H20 | BF16 input/output | FP32 accumulation | 64 x 64 weight blocks | 1-of-2 blocks use 2:4 | L2 flush disabled</x:v>
      </x:c>
      <x:c r="B2" s="94"/>
      <x:c r="C2" s="94"/>
      <x:c r="D2" s="94"/>
      <x:c r="E2" s="94"/>
      <x:c r="F2" s="94"/>
      <x:c r="G2" s="94"/>
    </x:row>
    <x:row r="4" ht="38" customHeight="1">
      <x:c r="A4" s="99" t="str">
        <x:v>Shape (M x N x K)</x:v>
      </x:c>
      <x:c r="B4" s="99" t="str">
        <x:v>Fused STSM (us)</x:v>
      </x:c>
      <x:c r="C4" s="99" t="str">
        <x:v>Persistent 3 CTA/SM (us)</x:v>
      </x:c>
      <x:c r="D4" s="99" t="str">
        <x:v>Lane-ready (us)</x:v>
      </x:c>
      <x:c r="E4" s="99" t="str">
        <x:v>DeepGEMM (us)</x:v>
      </x:c>
      <x:c r="F4" s="99" t="str">
        <x:v>Speedup vs STSM</x:v>
      </x:c>
      <x:c r="G4" s="99" t="str">
        <x:v>Speedup over DeepGEMM</x:v>
      </x:c>
    </x:row>
    <x:row r="5">
      <x:c r="A5" s="101" t="str">
        <x:v>128 x 1408 x 2048</x:v>
      </x:c>
      <x:c r="B5" s="103" t="n">
        <x:v>18.62</x:v>
      </x:c>
      <x:c r="C5" s="103" t="n">
        <x:v>17.28</x:v>
      </x:c>
      <x:c r="D5" s="103" t="n">
        <x:v>14.69</x:v>
      </x:c>
      <x:c r="E5" s="103" t="n">
        <x:v>9.9</x:v>
      </x:c>
      <x:c r="F5" s="104" t="n">
        <x:f>B5/D5</x:f>
        <x:v>1.2675289312457456</x:v>
      </x:c>
      <x:c r="G5" s="104" t="n">
        <x:f>E5/D5</x:f>
        <x:v>0.673927842069435</x:v>
      </x:c>
    </x:row>
    <x:row r="6">
      <x:c r="A6" s="101" t="str">
        <x:v>128 x 2048 x 1408</x:v>
      </x:c>
      <x:c r="B6" s="103" t="n">
        <x:v>12.83</x:v>
      </x:c>
      <x:c r="C6" s="103" t="n">
        <x:v>12.28</x:v>
      </x:c>
      <x:c r="D6" s="103" t="n">
        <x:v>10.88</x:v>
      </x:c>
      <x:c r="E6" s="103" t="n">
        <x:v>8.61</x:v>
      </x:c>
      <x:c r="F6" s="104" t="n">
        <x:f>B6/D6</x:f>
        <x:v>1.1792279411764706</x:v>
      </x:c>
      <x:c r="G6" s="104" t="n">
        <x:f>E6/D6</x:f>
        <x:v>0.791360294117647</x:v>
      </x:c>
    </x:row>
    <x:row r="7">
      <x:c r="A7" s="101" t="str">
        <x:v>256 x 1408 x 2048</x:v>
      </x:c>
      <x:c r="B7" s="103" t="n">
        <x:v>24.26</x:v>
      </x:c>
      <x:c r="C7" s="103" t="n">
        <x:v>23.7</x:v>
      </x:c>
      <x:c r="D7" s="103" t="n">
        <x:v>22.07</x:v>
      </x:c>
      <x:c r="E7" s="103" t="n">
        <x:v>13.89</x:v>
      </x:c>
      <x:c r="F7" s="104" t="n">
        <x:f>B7/D7</x:f>
        <x:v>1.099229723606706</x:v>
      </x:c>
      <x:c r="G7" s="104" t="n">
        <x:f>E7/D7</x:f>
        <x:v>0.6293611236973267</x:v>
      </x:c>
    </x:row>
    <x:row r="8">
      <x:c r="A8" s="101" t="str">
        <x:v>256 x 2048 x 1408</x:v>
      </x:c>
      <x:c r="B8" s="103" t="n">
        <x:v>17.92</x:v>
      </x:c>
      <x:c r="C8" s="103" t="n">
        <x:v>17.57</x:v>
      </x:c>
      <x:c r="D8" s="103" t="n">
        <x:v>16.57</x:v>
      </x:c>
      <x:c r="E8" s="103" t="n">
        <x:v>13.36</x:v>
      </x:c>
      <x:c r="F8" s="104" t="n">
        <x:f>B8/D8</x:f>
        <x:v>1.0814725407362704</x:v>
      </x:c>
      <x:c r="G8" s="104" t="n">
        <x:f>E8/D8</x:f>
        <x:v>0.8062764031382015</x:v>
      </x:c>
    </x:row>
    <x:row r="9">
      <x:c r="A9" s="101" t="str">
        <x:v>512 x 1408 x 2048</x:v>
      </x:c>
      <x:c r="B9" s="103" t="n">
        <x:v>32.54</x:v>
      </x:c>
      <x:c r="C9" s="103" t="n">
        <x:v>97.46</x:v>
      </x:c>
      <x:c r="D9" s="103" t="n">
        <x:v>30.75</x:v>
      </x:c>
      <x:c r="E9" s="103" t="n">
        <x:v>26.45</x:v>
      </x:c>
      <x:c r="F9" s="104" t="n">
        <x:f>B9/D9</x:f>
        <x:v>1.058211382113821</x:v>
      </x:c>
      <x:c r="G9" s="104" t="n">
        <x:f>E9/D9</x:f>
        <x:v>0.8601626016260162</x:v>
      </x:c>
    </x:row>
    <x:row r="10">
      <x:c r="A10" s="101" t="str">
        <x:v>512 x 2048 x 1408</x:v>
      </x:c>
      <x:c r="B10" s="103" t="n">
        <x:v>90.97</x:v>
      </x:c>
      <x:c r="C10" s="103" t="n">
        <x:v>37.07</x:v>
      </x:c>
      <x:c r="D10" s="103" t="n">
        <x:v>34.13</x:v>
      </x:c>
      <x:c r="E10" s="103" t="n">
        <x:v>26.57</x:v>
      </x:c>
      <x:c r="F10" s="104" t="n">
        <x:f>B10/D10</x:f>
        <x:v>2.665397011426897</x:v>
      </x:c>
      <x:c r="G10" s="104" t="n">
        <x:f>E10/D10</x:f>
        <x:v>0.778493993554058</x:v>
      </x:c>
    </x:row>
    <x:row r="11">
      <x:c r="A11" s="101" t="str">
        <x:v>1024 x 1408 x 2048</x:v>
      </x:c>
      <x:c r="B11" s="103" t="n">
        <x:v>104.84</x:v>
      </x:c>
      <x:c r="C11" s="103" t="n">
        <x:v>116.67</x:v>
      </x:c>
      <x:c r="D11" s="103" t="n">
        <x:v>97.8</x:v>
      </x:c>
      <x:c r="E11" s="103" t="n">
        <x:v>98.57</x:v>
      </x:c>
      <x:c r="F11" s="104" t="n">
        <x:f>B11/D11</x:f>
        <x:v>1.0719836400817997</x:v>
      </x:c>
      <x:c r="G11" s="104" t="n">
        <x:f>E11/D11</x:f>
        <x:v>1.0078732106339467</x:v>
      </x:c>
    </x:row>
    <x:row r="12">
      <x:c r="A12" s="101" t="str">
        <x:v>1024 x 2048 x 1408</x:v>
      </x:c>
      <x:c r="B12" s="103" t="n">
        <x:v>104.48</x:v>
      </x:c>
      <x:c r="C12" s="103" t="n">
        <x:v>112.97</x:v>
      </x:c>
      <x:c r="D12" s="103" t="n">
        <x:v>98.75</x:v>
      </x:c>
      <x:c r="E12" s="103" t="n">
        <x:v>97.22</x:v>
      </x:c>
      <x:c r="F12" s="104" t="n">
        <x:f>B12/D12</x:f>
        <x:v>1.0580253164556963</x:v>
      </x:c>
      <x:c r="G12" s="104" t="n">
        <x:f>E12/D12</x:f>
        <x:v>0.984506329113924</x:v>
      </x:c>
    </x:row>
    <x:row r="13">
      <x:c r="A13" s="101" t="str">
        <x:v>2048 x 1408 x 2048</x:v>
      </x:c>
      <x:c r="B13" s="103" t="n">
        <x:v>193.1</x:v>
      </x:c>
      <x:c r="C13" s="103" t="n">
        <x:v>280.45</x:v>
      </x:c>
      <x:c r="D13" s="103" t="n">
        <x:v>142.21</x:v>
      </x:c>
      <x:c r="E13" s="103" t="n">
        <x:v>194.62</x:v>
      </x:c>
      <x:c r="F13" s="104" t="n">
        <x:f>B13/D13</x:f>
        <x:v>1.3578510653259264</x:v>
      </x:c>
      <x:c r="G13" s="104" t="n">
        <x:f>E13/D13</x:f>
        <x:v>1.3685394838618943</x:v>
      </x:c>
    </x:row>
    <x:row r="14">
      <x:c r="A14" s="101" t="str">
        <x:v>2048 x 2048 x 1408</x:v>
      </x:c>
      <x:c r="B14" s="103" t="n">
        <x:v>95.17</x:v>
      </x:c>
      <x:c r="C14" s="103" t="n">
        <x:v>129.61</x:v>
      </x:c>
      <x:c r="D14" s="103" t="n">
        <x:v>91.3</x:v>
      </x:c>
      <x:c r="E14" s="103" t="n">
        <x:v>93.03</x:v>
      </x:c>
      <x:c r="F14" s="104" t="n">
        <x:f>B14/D14</x:f>
        <x:v>1.0423877327491786</x:v>
      </x:c>
      <x:c r="G14" s="104" t="n">
        <x:f>E14/D14</x:f>
        <x:v>1.01894852135816</x:v>
      </x:c>
    </x:row>
    <x:row r="15">
      <x:c r="A15" s="101" t="str">
        <x:v>4096 x 1408 x 2048</x:v>
      </x:c>
      <x:c r="B15" s="103" t="n">
        <x:v>172.46</x:v>
      </x:c>
      <x:c r="C15" s="103" t="n">
        <x:v>265.21</x:v>
      </x:c>
      <x:c r="D15" s="103" t="n">
        <x:v>172.96</x:v>
      </x:c>
      <x:c r="E15" s="103" t="n">
        <x:v>184.29</x:v>
      </x:c>
      <x:c r="F15" s="104" t="n">
        <x:f>B15/D15</x:f>
        <x:v>0.997109158186864</x:v>
      </x:c>
      <x:c r="G15" s="104" t="n">
        <x:f>E15/D15</x:f>
        <x:v>1.0655064754856614</x:v>
      </x:c>
    </x:row>
    <x:row r="16">
      <x:c r="A16" s="101" t="str">
        <x:v>4096 x 2048 x 1408</x:v>
      </x:c>
      <x:c r="B16" s="103" t="n">
        <x:v>174.23</x:v>
      </x:c>
      <x:c r="C16" s="103" t="n">
        <x:v>269.04</x:v>
      </x:c>
      <x:c r="D16" s="103" t="n">
        <x:v>167.28</x:v>
      </x:c>
      <x:c r="E16" s="103" t="n">
        <x:v>182.11</x:v>
      </x:c>
      <x:c r="F16" s="104" t="n">
        <x:f>B16/D16</x:f>
        <x:v>1.041547106647537</x:v>
      </x:c>
      <x:c r="G16" s="104" t="n">
        <x:f>E16/D16</x:f>
        <x:v>1.0886537541846006</x:v>
      </x:c>
    </x:row>
    <x:row r="17">
      <x:c r="A17" s="101" t="str">
        <x:v>512 x 4096 x 4096</x:v>
      </x:c>
      <x:c r="B17" s="103" t="n">
        <x:v>150.21</x:v>
      </x:c>
      <x:c r="C17" s="103" t="n">
        <x:v>174.89</x:v>
      </x:c>
      <x:c r="D17" s="103" t="n">
        <x:v>133.34</x:v>
      </x:c>
      <x:c r="E17" s="103" t="n">
        <x:v>131.48</x:v>
      </x:c>
      <x:c r="F17" s="104" t="n">
        <x:f>B17/D17</x:f>
        <x:v>1.1265186740662967</x:v>
      </x:c>
      <x:c r="G17" s="104" t="n">
        <x:f>E17/D17</x:f>
        <x:v>0.9860506974651266</x:v>
      </x:c>
    </x:row>
    <x:row r="21">
      <x:c r="A21" s="105" t="str">
        <x:v>NCU comparison at 512 x 4096 x 4096</x:v>
      </x:c>
      <x:c r="B21" s="105"/>
      <x:c r="C21" s="105"/>
      <x:c r="D21" s="105"/>
    </x:row>
    <x:row r="22">
      <x:c r="A22" s="106" t="str">
        <x:v>Metric</x:v>
      </x:c>
      <x:c r="B22" s="106" t="str">
        <x:v>Persistent 3 CTA/SM</x:v>
      </x:c>
      <x:c r="C22" s="106" t="str">
        <x:v>Lane-ready</x:v>
      </x:c>
      <x:c r="D22" s="106" t="str">
        <x:v>Change</x:v>
      </x:c>
    </x:row>
    <x:row r="23">
      <x:c r="A23" s="100" t="str">
        <x:v>NCU duration (us)</x:v>
      </x:c>
      <x:c r="B23" s="107" t="n">
        <x:v>192.448</x:v>
      </x:c>
      <x:c r="C23" s="107" t="n">
        <x:v>161.632</x:v>
      </x:c>
      <x:c r="D23" s="108" t="n">
        <x:f>C23/B23-1</x:f>
        <x:v>-0.16012637179913536</x:v>
      </x:c>
    </x:row>
    <x:row r="24">
      <x:c r="A24" s="100" t="str">
        <x:v>Registers / thread</x:v>
      </x:c>
      <x:c r="B24" s="107" t="n">
        <x:v>92</x:v>
      </x:c>
      <x:c r="C24" s="107" t="n">
        <x:v>60</x:v>
      </x:c>
      <x:c r="D24" s="108" t="n">
        <x:f>C24/B24-1</x:f>
        <x:v>-0.34782608695652173</x:v>
      </x:c>
    </x:row>
    <x:row r="25">
      <x:c r="A25" s="100" t="str">
        <x:v>Dynamic shared memory (KB / CTA)</x:v>
      </x:c>
      <x:c r="B25" s="107" t="n">
        <x:v>74.752</x:v>
      </x:c>
      <x:c r="C25" s="107" t="n">
        <x:v>58.368</x:v>
      </x:c>
      <x:c r="D25" s="108" t="n">
        <x:f>C25/B25-1</x:f>
        <x:v>-0.2191780821917807</x:v>
      </x:c>
    </x:row>
    <x:row r="26">
      <x:c r="A26" s="100" t="str">
        <x:v>Active warps (% peak)</x:v>
      </x:c>
      <x:c r="B26" s="107" t="n">
        <x:v>22.923226</x:v>
      </x:c>
      <x:c r="C26" s="107" t="n">
        <x:v>34.313097</x:v>
      </x:c>
      <x:c r="D26" s="108" t="n">
        <x:f>C26/B26-1</x:f>
        <x:v>0.4968703357895612</x:v>
      </x:c>
    </x:row>
    <x:row r="27">
      <x:c r="A27" s="100" t="str">
        <x:v>Tensor pipe active (% peak)</x:v>
      </x:c>
      <x:c r="B27" s="107" t="n">
        <x:v>14.900994</x:v>
      </x:c>
      <x:c r="C27" s="107" t="n">
        <x:v>18.759332</x:v>
      </x:c>
      <x:c r="D27" s="108" t="n">
        <x:f>C27/B27-1</x:f>
        <x:v>0.25893158536940564</x:v>
      </x:c>
    </x:row>
    <x:row r="28">
      <x:c r="A28" s="100" t="str">
        <x:v>Warp instructions</x:v>
      </x:c>
      <x:c r="B28" s="107" t="n">
        <x:v>21270725</x:v>
      </x:c>
      <x:c r="C28" s="107" t="n">
        <x:v>14163518</x:v>
      </x:c>
      <x:c r="D28" s="108" t="n">
        <x:f>C28/B28-1</x:f>
        <x:v>-0.3341309240752255</x:v>
      </x:c>
    </x:row>
    <x:row r="30" ht="38" customHeight="1">
      <x:c r="A30" s="111" t="str">
        <x:v>Benchmark note: all eight GPUs reported 96-100% utilization during the standard sweep, so isolated target-shape measurements and NCU deltas are more reliable than individual sweep outliers.</x:v>
      </x:c>
      <x:c r="B30" s="111"/>
      <x:c r="C30" s="111"/>
      <x:c r="D30" s="111"/>
      <x:c r="E30" s="111"/>
      <x:c r="F30" s="111"/>
      <x:c r="G30" s="111"/>
    </x:row>
  </x:sheetData>
  <x:mergeCells>
    <x:mergeCell ref="A1:G1"/>
    <x:mergeCell ref="A2:G2"/>
    <x:mergeCell ref="A21:D21"/>
    <x:mergeCell ref="A30:G30"/>
  </x:mergeCells>
  <x:conditionalFormatting sqref="G5:G17">
    <x:cfRule type="colorScale" priority="1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conditionalFormatting sqref="F5:F17">
    <x:cfRule type="colorScale" priority="2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pageMargins left="0.7" right="0.7" top="0.75" bottom="0.75" header="0.3" footer="0.3"/>
</x:worksheet>
</file>